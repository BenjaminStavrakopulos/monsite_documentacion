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  <sheet state="visible" name="Burn Down Chart" sheetId="2" r:id="rId6"/>
  </sheets>
  <definedNames/>
  <calcPr/>
</workbook>
</file>

<file path=xl/sharedStrings.xml><?xml version="1.0" encoding="utf-8"?>
<sst xmlns="http://schemas.openxmlformats.org/spreadsheetml/2006/main" count="117" uniqueCount="81">
  <si>
    <t>Comprometer Historias de Usuario</t>
  </si>
  <si>
    <t>Definición y Estimación de Tarea</t>
  </si>
  <si>
    <t>ID</t>
  </si>
  <si>
    <t>Historia de Usuario</t>
  </si>
  <si>
    <t>Sprint</t>
  </si>
  <si>
    <t>ID-Tarea</t>
  </si>
  <si>
    <t>Tarea o Actividad</t>
  </si>
  <si>
    <t>Estimación Puntos</t>
  </si>
  <si>
    <t>E02-H06</t>
  </si>
  <si>
    <t>Como usuario quiero ver el catálogo de productos.</t>
  </si>
  <si>
    <t xml:space="preserve"> Sprint 1</t>
  </si>
  <si>
    <t>H06-T1</t>
  </si>
  <si>
    <t>Integrar base de datos de productos.</t>
  </si>
  <si>
    <t>E02-H09</t>
  </si>
  <si>
    <t>Como usuario quiero ver el detalle completo de un producto.</t>
  </si>
  <si>
    <t>H06-T2</t>
  </si>
  <si>
    <t>Desarrollar vista del catálogo.</t>
  </si>
  <si>
    <t>E02-H07</t>
  </si>
  <si>
    <t>Como usuario quiero buscar productos por nombre o categoría.</t>
  </si>
  <si>
    <t>H06-T3</t>
  </si>
  <si>
    <t>Integrar productos con el Front-End.</t>
  </si>
  <si>
    <t>E02-H08</t>
  </si>
  <si>
    <t>Como usuario quiero filtrar productos por marca y categoría.</t>
  </si>
  <si>
    <t>H06-T4</t>
  </si>
  <si>
    <t>Realizar pruebas de visualización.</t>
  </si>
  <si>
    <t>E01-H01</t>
  </si>
  <si>
    <t>Como usuario quiero poder iniciar sesión mediante un formulario de acceso.</t>
  </si>
  <si>
    <t>H09-T1</t>
  </si>
  <si>
    <t>Diseñar vista de detalle del producto.</t>
  </si>
  <si>
    <t>E01-H02</t>
  </si>
  <si>
    <t>Como visitante quiero registrarme en la plataforma.</t>
  </si>
  <si>
    <t>H09-T2</t>
  </si>
  <si>
    <t>Desarrollar consulta de información del producto.</t>
  </si>
  <si>
    <t>E01-H05</t>
  </si>
  <si>
    <t>Como sistema quiero restringir las funciones según el rol del usuario.</t>
  </si>
  <si>
    <t>H09-T3</t>
  </si>
  <si>
    <t>Integrar datos e imágenes del producto.</t>
  </si>
  <si>
    <t>H09-T4</t>
  </si>
  <si>
    <t>H07-T1</t>
  </si>
  <si>
    <t>Diseñar buscador de productos.</t>
  </si>
  <si>
    <t>H07-T2</t>
  </si>
  <si>
    <t>Desarrollar búsqueda por nombre y categoría.</t>
  </si>
  <si>
    <t>H07-T3</t>
  </si>
  <si>
    <t>Integrar búsqueda con la base de datos.</t>
  </si>
  <si>
    <t>H07-T4</t>
  </si>
  <si>
    <t>Realizar pruebas de búsqueda.</t>
  </si>
  <si>
    <t>H08-T1</t>
  </si>
  <si>
    <t>Diseñar filtros de productos.</t>
  </si>
  <si>
    <t>H08-T2</t>
  </si>
  <si>
    <t>Desarrollar filtros por marca y categoría.</t>
  </si>
  <si>
    <t>H08-T3</t>
  </si>
  <si>
    <t>Integrar filtros con la base de datos.</t>
  </si>
  <si>
    <t>H08-T4</t>
  </si>
  <si>
    <t>Realizar pruebas de filtrado.</t>
  </si>
  <si>
    <t>H01-T1</t>
  </si>
  <si>
    <t>Diseñar formulario de inicio de sesión.</t>
  </si>
  <si>
    <t>H01-T2</t>
  </si>
  <si>
    <t>Desarrollar autenticación en backend.</t>
  </si>
  <si>
    <t>H01-T3</t>
  </si>
  <si>
    <t>Integrar validación de credenciales.</t>
  </si>
  <si>
    <t>H01-T4</t>
  </si>
  <si>
    <t>Realizar pruebas de inicio de sesión.</t>
  </si>
  <si>
    <t>H02-T1</t>
  </si>
  <si>
    <t>Diseñar formulario de registro.</t>
  </si>
  <si>
    <t>H02-T2</t>
  </si>
  <si>
    <t>Desarrollar registro de usuarios en backend.</t>
  </si>
  <si>
    <t>H02-T3</t>
  </si>
  <si>
    <t>Integrar almacenamiento de datos en la base de datos.</t>
  </si>
  <si>
    <t>H02-T4</t>
  </si>
  <si>
    <t>Realizar pruebas de registro.</t>
  </si>
  <si>
    <t>H05-T1</t>
  </si>
  <si>
    <t>Definir permisos para cada rol.</t>
  </si>
  <si>
    <t>H05-T2</t>
  </si>
  <si>
    <t>Implementar restricciones de funcionalidades.</t>
  </si>
  <si>
    <t>H05-T3</t>
  </si>
  <si>
    <t>Integrar control de acceso.</t>
  </si>
  <si>
    <t>H05-T4</t>
  </si>
  <si>
    <t>Realizar pruebas de permisos.</t>
  </si>
  <si>
    <t>Fecha</t>
  </si>
  <si>
    <t>Estimado</t>
  </si>
  <si>
    <t>Realizado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</si>
</sst>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horizontal="center" shrinkToFit="0" vertical="bottom" wrapText="1"/>
    </xf>
    <xf borderId="4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vertical="bottom"/>
    </xf>
    <xf borderId="4" fillId="2" fontId="4" numFmtId="0" xfId="0" applyAlignment="1" applyBorder="1" applyFill="1" applyFont="1">
      <alignment horizontal="center" readingOrder="0" vertical="bottom"/>
    </xf>
    <xf borderId="4" fillId="0" fontId="5" numFmtId="16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horizontal="right" readingOrder="0" vertical="bottom"/>
    </xf>
    <xf borderId="4" fillId="0" fontId="5" numFmtId="1" xfId="0" applyAlignment="1" applyBorder="1" applyFont="1" applyNumberFormat="1">
      <alignment horizontal="right"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'Burn Down Chart'!$C$2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 Down Chart'!$B$3:$B$17</c:f>
            </c:strRef>
          </c:cat>
          <c:val>
            <c:numRef>
              <c:f>'Burn Down Chart'!$C$3:$C$17</c:f>
              <c:numCache/>
            </c:numRef>
          </c:val>
          <c:smooth val="0"/>
        </c:ser>
        <c:ser>
          <c:idx val="1"/>
          <c:order val="1"/>
          <c:tx>
            <c:strRef>
              <c:f>'Burn Down Chart'!$D$2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 Down Chart'!$B$3:$B$17</c:f>
            </c:strRef>
          </c:cat>
          <c:val>
            <c:numRef>
              <c:f>'Burn Down Chart'!$D$3:$D$17</c:f>
              <c:numCache/>
            </c:numRef>
          </c:val>
          <c:smooth val="0"/>
        </c:ser>
        <c:axId val="1113652622"/>
        <c:axId val="1216749818"/>
      </c:lineChart>
      <c:catAx>
        <c:axId val="1113652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749818"/>
      </c:catAx>
      <c:valAx>
        <c:axId val="1216749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652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180975</xdr:rowOff>
    </xdr:from>
    <xdr:ext cx="8496300" cy="52578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9.38"/>
    <col customWidth="1" min="4" max="4" width="19.63"/>
    <col customWidth="1" min="5" max="5" width="18.25"/>
    <col customWidth="1" min="8" max="8" width="27.75"/>
    <col customWidth="1" min="9" max="9" width="18.25"/>
  </cols>
  <sheetData>
    <row r="2">
      <c r="B2" s="1" t="s">
        <v>0</v>
      </c>
      <c r="C2" s="2"/>
      <c r="D2" s="3"/>
      <c r="F2" s="4" t="s">
        <v>1</v>
      </c>
      <c r="G2" s="2"/>
      <c r="H2" s="2"/>
      <c r="I2" s="3"/>
    </row>
    <row r="3">
      <c r="B3" s="5" t="s">
        <v>2</v>
      </c>
      <c r="C3" s="5" t="s">
        <v>3</v>
      </c>
      <c r="D3" s="5" t="s">
        <v>4</v>
      </c>
      <c r="F3" s="6" t="s">
        <v>2</v>
      </c>
      <c r="G3" s="6" t="s">
        <v>5</v>
      </c>
      <c r="H3" s="5" t="s">
        <v>6</v>
      </c>
      <c r="I3" s="7" t="s">
        <v>7</v>
      </c>
    </row>
    <row r="4">
      <c r="B4" s="8" t="s">
        <v>8</v>
      </c>
      <c r="C4" s="9" t="s">
        <v>9</v>
      </c>
      <c r="D4" s="10" t="s">
        <v>10</v>
      </c>
      <c r="F4" s="10" t="s">
        <v>8</v>
      </c>
      <c r="G4" s="10" t="s">
        <v>11</v>
      </c>
      <c r="H4" s="11" t="s">
        <v>12</v>
      </c>
      <c r="I4" s="12">
        <v>5.0</v>
      </c>
    </row>
    <row r="5">
      <c r="B5" s="8" t="s">
        <v>13</v>
      </c>
      <c r="C5" s="9" t="s">
        <v>14</v>
      </c>
      <c r="D5" s="10" t="s">
        <v>10</v>
      </c>
      <c r="F5" s="10" t="s">
        <v>8</v>
      </c>
      <c r="G5" s="10" t="s">
        <v>15</v>
      </c>
      <c r="H5" s="11" t="s">
        <v>16</v>
      </c>
      <c r="I5" s="12">
        <v>5.0</v>
      </c>
    </row>
    <row r="6">
      <c r="B6" s="8" t="s">
        <v>17</v>
      </c>
      <c r="C6" s="9" t="s">
        <v>18</v>
      </c>
      <c r="D6" s="10" t="s">
        <v>10</v>
      </c>
      <c r="F6" s="10" t="s">
        <v>8</v>
      </c>
      <c r="G6" s="10" t="s">
        <v>19</v>
      </c>
      <c r="H6" s="11" t="s">
        <v>20</v>
      </c>
      <c r="I6" s="12">
        <v>5.0</v>
      </c>
    </row>
    <row r="7">
      <c r="B7" s="8" t="s">
        <v>21</v>
      </c>
      <c r="C7" s="9" t="s">
        <v>22</v>
      </c>
      <c r="D7" s="10" t="s">
        <v>10</v>
      </c>
      <c r="F7" s="10" t="s">
        <v>8</v>
      </c>
      <c r="G7" s="10" t="s">
        <v>23</v>
      </c>
      <c r="H7" s="11" t="s">
        <v>24</v>
      </c>
      <c r="I7" s="12">
        <v>5.0</v>
      </c>
    </row>
    <row r="8">
      <c r="B8" s="8" t="s">
        <v>25</v>
      </c>
      <c r="C8" s="9" t="s">
        <v>26</v>
      </c>
      <c r="D8" s="10" t="s">
        <v>10</v>
      </c>
      <c r="F8" s="10" t="s">
        <v>13</v>
      </c>
      <c r="G8" s="10" t="s">
        <v>27</v>
      </c>
      <c r="H8" s="11" t="s">
        <v>28</v>
      </c>
      <c r="I8" s="12">
        <v>5.0</v>
      </c>
    </row>
    <row r="9">
      <c r="B9" s="8" t="s">
        <v>29</v>
      </c>
      <c r="C9" s="9" t="s">
        <v>30</v>
      </c>
      <c r="D9" s="10" t="s">
        <v>10</v>
      </c>
      <c r="F9" s="10" t="s">
        <v>13</v>
      </c>
      <c r="G9" s="10" t="s">
        <v>31</v>
      </c>
      <c r="H9" s="11" t="s">
        <v>32</v>
      </c>
      <c r="I9" s="12">
        <v>5.0</v>
      </c>
    </row>
    <row r="10">
      <c r="B10" s="8" t="s">
        <v>33</v>
      </c>
      <c r="C10" s="9" t="s">
        <v>34</v>
      </c>
      <c r="D10" s="10" t="s">
        <v>10</v>
      </c>
      <c r="F10" s="10" t="s">
        <v>13</v>
      </c>
      <c r="G10" s="10" t="s">
        <v>35</v>
      </c>
      <c r="H10" s="11" t="s">
        <v>36</v>
      </c>
      <c r="I10" s="12">
        <v>5.0</v>
      </c>
    </row>
    <row r="11">
      <c r="F11" s="10" t="s">
        <v>13</v>
      </c>
      <c r="G11" s="10" t="s">
        <v>37</v>
      </c>
      <c r="H11" s="11" t="s">
        <v>24</v>
      </c>
      <c r="I11" s="12">
        <v>5.0</v>
      </c>
    </row>
    <row r="12">
      <c r="F12" s="10" t="s">
        <v>17</v>
      </c>
      <c r="G12" s="10" t="s">
        <v>38</v>
      </c>
      <c r="H12" s="13" t="s">
        <v>39</v>
      </c>
      <c r="I12" s="12">
        <v>5.0</v>
      </c>
    </row>
    <row r="13">
      <c r="F13" s="10" t="s">
        <v>17</v>
      </c>
      <c r="G13" s="10" t="s">
        <v>40</v>
      </c>
      <c r="H13" s="11" t="s">
        <v>41</v>
      </c>
      <c r="I13" s="12">
        <v>5.0</v>
      </c>
    </row>
    <row r="14">
      <c r="F14" s="10" t="s">
        <v>17</v>
      </c>
      <c r="G14" s="10" t="s">
        <v>42</v>
      </c>
      <c r="H14" s="11" t="s">
        <v>43</v>
      </c>
      <c r="I14" s="12">
        <v>5.0</v>
      </c>
    </row>
    <row r="15">
      <c r="F15" s="10" t="s">
        <v>17</v>
      </c>
      <c r="G15" s="10" t="s">
        <v>44</v>
      </c>
      <c r="H15" s="11" t="s">
        <v>45</v>
      </c>
      <c r="I15" s="12">
        <v>5.0</v>
      </c>
    </row>
    <row r="16">
      <c r="F16" s="10" t="s">
        <v>21</v>
      </c>
      <c r="G16" s="10" t="s">
        <v>46</v>
      </c>
      <c r="H16" s="11" t="s">
        <v>47</v>
      </c>
      <c r="I16" s="12">
        <v>5.0</v>
      </c>
    </row>
    <row r="17">
      <c r="F17" s="10" t="s">
        <v>21</v>
      </c>
      <c r="G17" s="10" t="s">
        <v>48</v>
      </c>
      <c r="H17" s="11" t="s">
        <v>49</v>
      </c>
      <c r="I17" s="12">
        <v>5.0</v>
      </c>
    </row>
    <row r="18">
      <c r="F18" s="10" t="s">
        <v>21</v>
      </c>
      <c r="G18" s="10" t="s">
        <v>50</v>
      </c>
      <c r="H18" s="11" t="s">
        <v>51</v>
      </c>
      <c r="I18" s="12">
        <v>5.0</v>
      </c>
    </row>
    <row r="19">
      <c r="F19" s="10" t="s">
        <v>21</v>
      </c>
      <c r="G19" s="10" t="s">
        <v>52</v>
      </c>
      <c r="H19" s="11" t="s">
        <v>53</v>
      </c>
      <c r="I19" s="12">
        <v>5.0</v>
      </c>
    </row>
    <row r="20">
      <c r="F20" s="10" t="s">
        <v>25</v>
      </c>
      <c r="G20" s="10" t="s">
        <v>54</v>
      </c>
      <c r="H20" s="11" t="s">
        <v>55</v>
      </c>
      <c r="I20" s="12">
        <v>5.0</v>
      </c>
    </row>
    <row r="21">
      <c r="F21" s="10" t="s">
        <v>25</v>
      </c>
      <c r="G21" s="10" t="s">
        <v>56</v>
      </c>
      <c r="H21" s="11" t="s">
        <v>57</v>
      </c>
      <c r="I21" s="12">
        <v>5.0</v>
      </c>
    </row>
    <row r="22">
      <c r="F22" s="10" t="s">
        <v>25</v>
      </c>
      <c r="G22" s="10" t="s">
        <v>58</v>
      </c>
      <c r="H22" s="11" t="s">
        <v>59</v>
      </c>
      <c r="I22" s="12">
        <v>5.0</v>
      </c>
    </row>
    <row r="23">
      <c r="F23" s="10" t="s">
        <v>25</v>
      </c>
      <c r="G23" s="10" t="s">
        <v>60</v>
      </c>
      <c r="H23" s="11" t="s">
        <v>61</v>
      </c>
      <c r="I23" s="12">
        <v>5.0</v>
      </c>
    </row>
    <row r="24">
      <c r="F24" s="10" t="s">
        <v>29</v>
      </c>
      <c r="G24" s="10" t="s">
        <v>62</v>
      </c>
      <c r="H24" s="11" t="s">
        <v>63</v>
      </c>
      <c r="I24" s="12">
        <v>5.0</v>
      </c>
    </row>
    <row r="25">
      <c r="F25" s="10" t="s">
        <v>29</v>
      </c>
      <c r="G25" s="10" t="s">
        <v>64</v>
      </c>
      <c r="H25" s="11" t="s">
        <v>65</v>
      </c>
      <c r="I25" s="12">
        <v>5.0</v>
      </c>
    </row>
    <row r="26">
      <c r="F26" s="10" t="s">
        <v>29</v>
      </c>
      <c r="G26" s="10" t="s">
        <v>66</v>
      </c>
      <c r="H26" s="11" t="s">
        <v>67</v>
      </c>
      <c r="I26" s="12">
        <v>5.0</v>
      </c>
    </row>
    <row r="27">
      <c r="F27" s="10" t="s">
        <v>29</v>
      </c>
      <c r="G27" s="10" t="s">
        <v>68</v>
      </c>
      <c r="H27" s="11" t="s">
        <v>69</v>
      </c>
      <c r="I27" s="12">
        <v>5.0</v>
      </c>
    </row>
    <row r="28">
      <c r="F28" s="10" t="s">
        <v>33</v>
      </c>
      <c r="G28" s="10" t="s">
        <v>70</v>
      </c>
      <c r="H28" s="11" t="s">
        <v>71</v>
      </c>
      <c r="I28" s="12">
        <v>5.0</v>
      </c>
    </row>
    <row r="29">
      <c r="F29" s="10" t="s">
        <v>33</v>
      </c>
      <c r="G29" s="10" t="s">
        <v>72</v>
      </c>
      <c r="H29" s="11" t="s">
        <v>73</v>
      </c>
      <c r="I29" s="12">
        <v>5.0</v>
      </c>
    </row>
    <row r="30">
      <c r="F30" s="10" t="s">
        <v>33</v>
      </c>
      <c r="G30" s="10" t="s">
        <v>74</v>
      </c>
      <c r="H30" s="11" t="s">
        <v>75</v>
      </c>
      <c r="I30" s="12">
        <v>5.0</v>
      </c>
    </row>
    <row r="31">
      <c r="F31" s="10" t="s">
        <v>33</v>
      </c>
      <c r="G31" s="10" t="s">
        <v>76</v>
      </c>
      <c r="H31" s="11" t="s">
        <v>77</v>
      </c>
      <c r="I31" s="12">
        <v>5.0</v>
      </c>
    </row>
  </sheetData>
  <mergeCells count="2">
    <mergeCell ref="B2:D2"/>
    <mergeCell ref="F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4" t="s">
        <v>78</v>
      </c>
      <c r="C2" s="15" t="s">
        <v>79</v>
      </c>
      <c r="D2" s="14" t="s">
        <v>80</v>
      </c>
    </row>
    <row r="3">
      <c r="B3" s="16">
        <v>46258.0</v>
      </c>
      <c r="C3" s="17">
        <f>SUM(Tareas!I4:I31)</f>
        <v>140</v>
      </c>
      <c r="D3" s="18">
        <v>140.0</v>
      </c>
    </row>
    <row r="4">
      <c r="B4" s="16">
        <v>46259.0</v>
      </c>
      <c r="C4" s="19">
        <f t="shared" ref="C4:C17" si="1">C3-$C$19</f>
        <v>130</v>
      </c>
      <c r="D4" s="18">
        <v>133.0</v>
      </c>
    </row>
    <row r="5">
      <c r="B5" s="16">
        <v>46260.0</v>
      </c>
      <c r="C5" s="19">
        <f t="shared" si="1"/>
        <v>120</v>
      </c>
      <c r="D5" s="18">
        <v>124.0</v>
      </c>
    </row>
    <row r="6">
      <c r="B6" s="16">
        <v>46261.0</v>
      </c>
      <c r="C6" s="19">
        <f t="shared" si="1"/>
        <v>110</v>
      </c>
      <c r="D6" s="18">
        <v>105.0</v>
      </c>
    </row>
    <row r="7">
      <c r="B7" s="16">
        <v>46262.0</v>
      </c>
      <c r="C7" s="19">
        <f t="shared" si="1"/>
        <v>100</v>
      </c>
      <c r="D7" s="18">
        <v>86.0</v>
      </c>
    </row>
    <row r="8">
      <c r="B8" s="16">
        <v>46265.0</v>
      </c>
      <c r="C8" s="19">
        <f t="shared" si="1"/>
        <v>90</v>
      </c>
      <c r="D8" s="18">
        <v>74.0</v>
      </c>
    </row>
    <row r="9">
      <c r="B9" s="16">
        <v>46266.0</v>
      </c>
      <c r="C9" s="19">
        <f t="shared" si="1"/>
        <v>80</v>
      </c>
      <c r="D9" s="18">
        <v>68.0</v>
      </c>
    </row>
    <row r="10">
      <c r="B10" s="16">
        <v>46267.0</v>
      </c>
      <c r="C10" s="19">
        <f t="shared" si="1"/>
        <v>70</v>
      </c>
      <c r="D10" s="18">
        <v>57.0</v>
      </c>
    </row>
    <row r="11">
      <c r="B11" s="16">
        <v>46268.0</v>
      </c>
      <c r="C11" s="19">
        <f t="shared" si="1"/>
        <v>60</v>
      </c>
      <c r="D11" s="18">
        <v>45.0</v>
      </c>
    </row>
    <row r="12">
      <c r="B12" s="16">
        <v>46269.0</v>
      </c>
      <c r="C12" s="19">
        <f t="shared" si="1"/>
        <v>50</v>
      </c>
      <c r="D12" s="18">
        <v>38.0</v>
      </c>
    </row>
    <row r="13">
      <c r="B13" s="16">
        <v>46272.0</v>
      </c>
      <c r="C13" s="19">
        <f t="shared" si="1"/>
        <v>40</v>
      </c>
      <c r="D13" s="18">
        <v>34.0</v>
      </c>
    </row>
    <row r="14">
      <c r="B14" s="16">
        <v>46273.0</v>
      </c>
      <c r="C14" s="19">
        <f t="shared" si="1"/>
        <v>30</v>
      </c>
      <c r="D14" s="18">
        <v>21.0</v>
      </c>
    </row>
    <row r="15">
      <c r="B15" s="16">
        <v>46274.0</v>
      </c>
      <c r="C15" s="19">
        <f t="shared" si="1"/>
        <v>20</v>
      </c>
      <c r="D15" s="18">
        <v>16.0</v>
      </c>
    </row>
    <row r="16">
      <c r="B16" s="16">
        <v>46275.0</v>
      </c>
      <c r="C16" s="19">
        <f t="shared" si="1"/>
        <v>10</v>
      </c>
      <c r="D16" s="18">
        <v>8.0</v>
      </c>
    </row>
    <row r="17">
      <c r="B17" s="16">
        <v>46276.0</v>
      </c>
      <c r="C17" s="19">
        <f t="shared" si="1"/>
        <v>0</v>
      </c>
      <c r="D17" s="18">
        <v>0.0</v>
      </c>
    </row>
    <row r="19">
      <c r="C19" s="20">
        <f>C3/14</f>
        <v>10</v>
      </c>
    </row>
  </sheetData>
  <drawing r:id="rId1"/>
</worksheet>
</file>