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4"/>
    <sheet state="visible" name="Burn Down Chart" sheetId="2" r:id="rId5"/>
  </sheets>
  <definedNames/>
  <calcPr/>
  <extLst>
    <ext uri="GoogleSheetsCustomDataVersion2">
      <go:sheetsCustomData xmlns:go="http://customooxmlschemas.google.com/" r:id="rId6" roundtripDataChecksum="UnnlzQ0U1rg4MsAS9xcmd0piG/LaMdiXdEP/w5DxJiE="/>
    </ext>
  </extLst>
</workbook>
</file>

<file path=xl/sharedStrings.xml><?xml version="1.0" encoding="utf-8"?>
<sst xmlns="http://schemas.openxmlformats.org/spreadsheetml/2006/main" count="239" uniqueCount="162">
  <si>
    <t>Comprometer Historias de Usuario</t>
  </si>
  <si>
    <t>Definición y Estimación de Tarea</t>
  </si>
  <si>
    <t>ID</t>
  </si>
  <si>
    <t>Historia de Usuario</t>
  </si>
  <si>
    <t>Sprint</t>
  </si>
  <si>
    <t>ID-Tarea</t>
  </si>
  <si>
    <t>Tarea o Actividad</t>
  </si>
  <si>
    <t>Estimación Puntos</t>
  </si>
  <si>
    <t>20 = 1 completa</t>
  </si>
  <si>
    <t>E01-H03</t>
  </si>
  <si>
    <t>Como administrador quiero acceder a un panel exclusivo.</t>
  </si>
  <si>
    <t>Sprint 2</t>
  </si>
  <si>
    <t>H03-T1</t>
  </si>
  <si>
    <t>Diseñar panel exclusivo para administradores.</t>
  </si>
  <si>
    <t>E01-H04</t>
  </si>
  <si>
    <t>Como bodeguero quiero acceder a un panel limitado.</t>
  </si>
  <si>
    <t>H03-T2</t>
  </si>
  <si>
    <t>Desarrollar acceso al panel según rol.</t>
  </si>
  <si>
    <t>E03-H10</t>
  </si>
  <si>
    <t>Como usuario quiero visualizar mi carrito en un panel lateral.</t>
  </si>
  <si>
    <t>H03-T3</t>
  </si>
  <si>
    <t>Integrar permisos de administrador.</t>
  </si>
  <si>
    <t>E03-H12</t>
  </si>
  <si>
    <t>Como usuario quiero aumentar o disminuir la cantidad de productos en el carrito.</t>
  </si>
  <si>
    <t>H03-T4</t>
  </si>
  <si>
    <t>Realizar pruebas de acceso.</t>
  </si>
  <si>
    <t>E03-H11</t>
  </si>
  <si>
    <t>Como usuario quiero continuar desde el carrito al proceso de pago.</t>
  </si>
  <si>
    <t>H04-T1</t>
  </si>
  <si>
    <t>Diseñar panel limitado para bodeguero.</t>
  </si>
  <si>
    <t>E04-H13</t>
  </si>
  <si>
    <t>Como usuario quiero completar mis datos de envío.</t>
  </si>
  <si>
    <t>H04-T2</t>
  </si>
  <si>
    <t>Desarrollar acceso según rol.</t>
  </si>
  <si>
    <t>E04-H15</t>
  </si>
  <si>
    <t>Como usuario quiero confirmar mi compra al finalizar el checkout.</t>
  </si>
  <si>
    <t>H04-T3</t>
  </si>
  <si>
    <t>Configurar permisos del panel.</t>
  </si>
  <si>
    <t>E05-H18</t>
  </si>
  <si>
    <t>Como usuario quiero revisar el resumen de mi orden antes de pagar.</t>
  </si>
  <si>
    <t>H04-T4</t>
  </si>
  <si>
    <t>E05-H17</t>
  </si>
  <si>
    <t>Como usuario quiero pagar con Mercado Pago.</t>
  </si>
  <si>
    <t>H10-T1</t>
  </si>
  <si>
    <t>Diseñar panel lateral del carrito.</t>
  </si>
  <si>
    <t>E05-H19</t>
  </si>
  <si>
    <t>Como usuario quiero ver una confirmación cuando el pago se complete.</t>
  </si>
  <si>
    <t>H10-T2</t>
  </si>
  <si>
    <t>Desarrollar visualización de productos.</t>
  </si>
  <si>
    <t>E04-H16</t>
  </si>
  <si>
    <t>Como usuario quiero usar una dirección guardada.</t>
  </si>
  <si>
    <t>H10-T3</t>
  </si>
  <si>
    <t>Integrar carrito con los productos seleccionados.</t>
  </si>
  <si>
    <t>E04-H14</t>
  </si>
  <si>
    <t>Como usuario quiero ingresar un código de descuento.</t>
  </si>
  <si>
    <t>H10-T4</t>
  </si>
  <si>
    <t>Realizar pruebas del carrito.</t>
  </si>
  <si>
    <t>E06-H20</t>
  </si>
  <si>
    <t>Como usuario quiero ver mis órdenes anteriores.</t>
  </si>
  <si>
    <t>H12-T1</t>
  </si>
  <si>
    <t>Diseñar controles para modificar cantidades.</t>
  </si>
  <si>
    <t>E06-H22</t>
  </si>
  <si>
    <t>Como usuario quiero ver el detalle de una orden.</t>
  </si>
  <si>
    <t>H12-T2</t>
  </si>
  <si>
    <t>Desarrollar aumento y disminución de cantidades.</t>
  </si>
  <si>
    <t>E06-H21</t>
  </si>
  <si>
    <t>Como usuario quiero filtrar mis órdenes por estado.</t>
  </si>
  <si>
    <t>H12-T3</t>
  </si>
  <si>
    <t>Actualizar automáticamente el total del carrito.</t>
  </si>
  <si>
    <t>H12-T4</t>
  </si>
  <si>
    <t>Realizar pruebas de cantidades.</t>
  </si>
  <si>
    <t>H11-T1</t>
  </si>
  <si>
    <t>Diseñar botón para continuar al checkout.</t>
  </si>
  <si>
    <t>H11-T2</t>
  </si>
  <si>
    <t>Desarrollar navegación hacia el checkout.</t>
  </si>
  <si>
    <t>H11-T3</t>
  </si>
  <si>
    <t>Integrar productos y totales del carrito.</t>
  </si>
  <si>
    <t>H11-T4</t>
  </si>
  <si>
    <t>Realizar pruebas de navegación.</t>
  </si>
  <si>
    <t>H13-T1</t>
  </si>
  <si>
    <t>Diseñar formulario de datos de envío.</t>
  </si>
  <si>
    <t>H13-T2</t>
  </si>
  <si>
    <t>Desarrollar validación de los datos.</t>
  </si>
  <si>
    <t>H13-T3</t>
  </si>
  <si>
    <t>Integrar datos de envío con la orden.</t>
  </si>
  <si>
    <t>H13-T4</t>
  </si>
  <si>
    <t>Realizar pruebas del formulario.</t>
  </si>
  <si>
    <t>H15-T1</t>
  </si>
  <si>
    <t>Diseñar sección de confirmación.</t>
  </si>
  <si>
    <t>H15-T2</t>
  </si>
  <si>
    <t>Validar información del checkout.</t>
  </si>
  <si>
    <t>H15-T3</t>
  </si>
  <si>
    <t>Registrar la orden confirmada.</t>
  </si>
  <si>
    <t>H15-T4</t>
  </si>
  <si>
    <t>Realizar pruebas de confirmación.</t>
  </si>
  <si>
    <t>H18-T1</t>
  </si>
  <si>
    <t>Diseñar resumen de la orden.</t>
  </si>
  <si>
    <t>H18-T2</t>
  </si>
  <si>
    <t>Mostrar productos, cantidades y precios.</t>
  </si>
  <si>
    <t>H18-T3</t>
  </si>
  <si>
    <t>Integrar total final de compra.</t>
  </si>
  <si>
    <t>H18-T4</t>
  </si>
  <si>
    <t>Realizar pruebas del resumen.</t>
  </si>
  <si>
    <t>H17-T1</t>
  </si>
  <si>
    <t>Configurar integración con Mercado Pago.</t>
  </si>
  <si>
    <t>H17-T2</t>
  </si>
  <si>
    <t>Desarrollar proceso de pago.</t>
  </si>
  <si>
    <t>H17-T3</t>
  </si>
  <si>
    <t>Integrar respuesta del servicio de pago.</t>
  </si>
  <si>
    <t>H17-T4</t>
  </si>
  <si>
    <t>Realizar pruebas de pago.</t>
  </si>
  <si>
    <t>H19-T1</t>
  </si>
  <si>
    <t>Diseñar pantalla de confirmación.</t>
  </si>
  <si>
    <t>H19-T2</t>
  </si>
  <si>
    <t>Integrar estado del pago.</t>
  </si>
  <si>
    <t>H19-T3</t>
  </si>
  <si>
    <t>Mostrar información de la orden.</t>
  </si>
  <si>
    <t>H19-T4</t>
  </si>
  <si>
    <t>H16-T1</t>
  </si>
  <si>
    <t>Diseñar selector de direcciones guardadas.</t>
  </si>
  <si>
    <t>H16-T2</t>
  </si>
  <si>
    <t>Desarrollar consulta de direcciones del usuario.</t>
  </si>
  <si>
    <t>H16-T3</t>
  </si>
  <si>
    <t>Integrar dirección seleccionada al checkout.</t>
  </si>
  <si>
    <t>H16-T4</t>
  </si>
  <si>
    <t>Realizar pruebas de selección.</t>
  </si>
  <si>
    <t>H14-T1</t>
  </si>
  <si>
    <t>Diseñar campo para código de descuento.</t>
  </si>
  <si>
    <t>H14-T2</t>
  </si>
  <si>
    <t>Desarrollar validación del código.</t>
  </si>
  <si>
    <t>H14-T3</t>
  </si>
  <si>
    <t>Aplicar descuento al total de compra.</t>
  </si>
  <si>
    <t>H14-T4</t>
  </si>
  <si>
    <t>Realizar pruebas de descuentos.</t>
  </si>
  <si>
    <t>H20-T1</t>
  </si>
  <si>
    <t>Diseñar vista de órdenes anteriores.</t>
  </si>
  <si>
    <t>H20-T2</t>
  </si>
  <si>
    <t>Desarrollar consulta de órdenes.</t>
  </si>
  <si>
    <t>H20-T3</t>
  </si>
  <si>
    <t>Integrar órdenes con la cuenta del usuario.</t>
  </si>
  <si>
    <t>H20-T4</t>
  </si>
  <si>
    <t>Realizar pruebas de consulta.</t>
  </si>
  <si>
    <t>H22-T1</t>
  </si>
  <si>
    <t>Diseñar vista de detalle de la orden.</t>
  </si>
  <si>
    <t>H22-T2</t>
  </si>
  <si>
    <t>Desarrollar consulta del detalle.</t>
  </si>
  <si>
    <t>H22-T3</t>
  </si>
  <si>
    <t>Integrar productos y estado de la orden.</t>
  </si>
  <si>
    <t>H22-T4</t>
  </si>
  <si>
    <t>Realizar pruebas de visualización.</t>
  </si>
  <si>
    <t>H21-T1</t>
  </si>
  <si>
    <t>Diseñar filtros por estado.</t>
  </si>
  <si>
    <t>H21-T2</t>
  </si>
  <si>
    <t>Desarrollar filtrado de órdenes.</t>
  </si>
  <si>
    <t>H21-T3</t>
  </si>
  <si>
    <t>Integrar filtros con la consulta de órdenes.</t>
  </si>
  <si>
    <t>H21-T4</t>
  </si>
  <si>
    <t>Realizar pruebas de filtrado.</t>
  </si>
  <si>
    <t>Fecha</t>
  </si>
  <si>
    <t>Estimado</t>
  </si>
  <si>
    <t>Realizado</t>
  </si>
  <si>
    <t>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</si>
</sst>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vertical="bottom"/>
    </xf>
    <xf borderId="4" fillId="2" fontId="1" numFmtId="0" xfId="0" applyAlignment="1" applyBorder="1" applyFill="1" applyFont="1">
      <alignment horizontal="center" shrinkToFit="0" vertical="bottom" wrapText="1"/>
    </xf>
    <xf borderId="4" fillId="2" fontId="1" numFmtId="0" xfId="0" applyAlignment="1" applyBorder="1" applyFill="1" applyFont="1">
      <alignment horizontal="center" vertical="bottom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shrinkToFit="0" vertical="center" wrapText="1"/>
    </xf>
    <xf borderId="4" fillId="2" fontId="5" numFmtId="0" xfId="0" applyAlignment="1" applyBorder="1" applyFill="1" applyFont="1">
      <alignment horizontal="center" vertical="bottom"/>
    </xf>
    <xf borderId="4" fillId="2" fontId="5" numFmtId="0" xfId="0" applyAlignment="1" applyBorder="1" applyFill="1" applyFont="1">
      <alignment horizontal="center" readingOrder="0" vertical="bottom"/>
    </xf>
    <xf borderId="4" fillId="0" fontId="6" numFmtId="164" xfId="0" applyAlignment="1" applyBorder="1" applyFont="1" applyNumberFormat="1">
      <alignment horizontal="right" readingOrder="0" vertical="bottom"/>
    </xf>
    <xf borderId="4" fillId="0" fontId="6" numFmtId="0" xfId="0" applyAlignment="1" applyBorder="1" applyFont="1">
      <alignment horizontal="right" vertical="bottom"/>
    </xf>
    <xf borderId="4" fillId="0" fontId="6" numFmtId="0" xfId="0" applyAlignment="1" applyBorder="1" applyFont="1">
      <alignment horizontal="right" readingOrder="0" vertical="bottom"/>
    </xf>
    <xf borderId="4" fillId="0" fontId="6" numFmtId="1" xfId="0" applyAlignment="1" applyBorder="1" applyFont="1" applyNumberFormat="1">
      <alignment horizontal="right"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'Burn Down Chart'!$C$2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 Down Chart'!$B$3:$B$17</c:f>
            </c:strRef>
          </c:cat>
          <c:val>
            <c:numRef>
              <c:f>'Burn Down Chart'!$C$3:$C$17</c:f>
              <c:numCache/>
            </c:numRef>
          </c:val>
          <c:smooth val="0"/>
        </c:ser>
        <c:ser>
          <c:idx val="1"/>
          <c:order val="1"/>
          <c:tx>
            <c:strRef>
              <c:f>'Burn Down Chart'!$D$2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 Down Chart'!$B$3:$B$17</c:f>
            </c:strRef>
          </c:cat>
          <c:val>
            <c:numRef>
              <c:f>'Burn Down Chart'!$D$3:$D$17</c:f>
              <c:numCache/>
            </c:numRef>
          </c:val>
          <c:smooth val="0"/>
        </c:ser>
        <c:axId val="1397218489"/>
        <c:axId val="355416709"/>
      </c:lineChart>
      <c:catAx>
        <c:axId val="1397218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55416709"/>
      </c:catAx>
      <c:valAx>
        <c:axId val="355416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721848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1</xdr:row>
      <xdr:rowOff>9525</xdr:rowOff>
    </xdr:from>
    <xdr:ext cx="9410700" cy="5829300"/>
    <xdr:graphicFrame>
      <xdr:nvGraphicFramePr>
        <xdr:cNvPr id="90036128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2.88"/>
    <col customWidth="1" min="3" max="3" width="19.38"/>
    <col customWidth="1" min="4" max="4" width="19.63"/>
    <col customWidth="1" min="5" max="5" width="18.25"/>
    <col customWidth="1" min="6" max="6" width="12.63"/>
    <col customWidth="1" min="8" max="8" width="27.75"/>
    <col customWidth="1" min="9" max="9" width="18.25"/>
  </cols>
  <sheetData>
    <row r="1" ht="15.75" customHeight="1"/>
    <row r="2" ht="15.75" customHeight="1">
      <c r="B2" s="1" t="s">
        <v>0</v>
      </c>
      <c r="C2" s="2"/>
      <c r="D2" s="3"/>
      <c r="F2" s="4" t="s">
        <v>1</v>
      </c>
      <c r="G2" s="2"/>
      <c r="H2" s="2"/>
      <c r="I2" s="3"/>
    </row>
    <row r="3" ht="15.75" customHeight="1">
      <c r="B3" s="5" t="s">
        <v>2</v>
      </c>
      <c r="C3" s="5" t="s">
        <v>3</v>
      </c>
      <c r="D3" s="5" t="s">
        <v>4</v>
      </c>
      <c r="F3" s="6" t="s">
        <v>2</v>
      </c>
      <c r="G3" s="6" t="s">
        <v>5</v>
      </c>
      <c r="H3" s="5" t="s">
        <v>6</v>
      </c>
      <c r="I3" s="6" t="s">
        <v>7</v>
      </c>
      <c r="K3" s="7" t="s">
        <v>8</v>
      </c>
    </row>
    <row r="4" ht="15.75" customHeight="1">
      <c r="B4" s="8" t="s">
        <v>9</v>
      </c>
      <c r="C4" s="9" t="s">
        <v>10</v>
      </c>
      <c r="D4" s="8" t="s">
        <v>11</v>
      </c>
      <c r="F4" s="10" t="s">
        <v>9</v>
      </c>
      <c r="G4" s="10" t="s">
        <v>12</v>
      </c>
      <c r="H4" s="11" t="s">
        <v>13</v>
      </c>
      <c r="I4" s="12">
        <v>5.0</v>
      </c>
    </row>
    <row r="5" ht="15.75" customHeight="1">
      <c r="B5" s="8" t="s">
        <v>14</v>
      </c>
      <c r="C5" s="9" t="s">
        <v>15</v>
      </c>
      <c r="D5" s="8" t="s">
        <v>11</v>
      </c>
      <c r="F5" s="10" t="s">
        <v>9</v>
      </c>
      <c r="G5" s="10" t="s">
        <v>16</v>
      </c>
      <c r="H5" s="11" t="s">
        <v>17</v>
      </c>
      <c r="I5" s="12">
        <v>5.0</v>
      </c>
    </row>
    <row r="6" ht="15.75" customHeight="1">
      <c r="B6" s="13" t="s">
        <v>18</v>
      </c>
      <c r="C6" s="9" t="s">
        <v>19</v>
      </c>
      <c r="D6" s="8" t="s">
        <v>11</v>
      </c>
      <c r="F6" s="10" t="s">
        <v>9</v>
      </c>
      <c r="G6" s="10" t="s">
        <v>20</v>
      </c>
      <c r="H6" s="11" t="s">
        <v>21</v>
      </c>
      <c r="I6" s="12">
        <v>5.0</v>
      </c>
    </row>
    <row r="7" ht="15.75" customHeight="1">
      <c r="B7" s="13" t="s">
        <v>22</v>
      </c>
      <c r="C7" s="9" t="s">
        <v>23</v>
      </c>
      <c r="D7" s="8" t="s">
        <v>11</v>
      </c>
      <c r="F7" s="10" t="s">
        <v>9</v>
      </c>
      <c r="G7" s="10" t="s">
        <v>24</v>
      </c>
      <c r="H7" s="11" t="s">
        <v>25</v>
      </c>
      <c r="I7" s="12">
        <v>5.0</v>
      </c>
    </row>
    <row r="8" ht="15.75" customHeight="1">
      <c r="B8" s="13" t="s">
        <v>26</v>
      </c>
      <c r="C8" s="9" t="s">
        <v>27</v>
      </c>
      <c r="D8" s="8" t="s">
        <v>11</v>
      </c>
      <c r="F8" s="10" t="s">
        <v>14</v>
      </c>
      <c r="G8" s="10" t="s">
        <v>28</v>
      </c>
      <c r="H8" s="11" t="s">
        <v>29</v>
      </c>
      <c r="I8" s="12">
        <v>5.0</v>
      </c>
    </row>
    <row r="9" ht="15.75" customHeight="1">
      <c r="B9" s="13" t="s">
        <v>30</v>
      </c>
      <c r="C9" s="9" t="s">
        <v>31</v>
      </c>
      <c r="D9" s="8" t="s">
        <v>11</v>
      </c>
      <c r="F9" s="10" t="s">
        <v>14</v>
      </c>
      <c r="G9" s="10" t="s">
        <v>32</v>
      </c>
      <c r="H9" s="11" t="s">
        <v>33</v>
      </c>
      <c r="I9" s="12">
        <v>5.0</v>
      </c>
    </row>
    <row r="10" ht="15.75" customHeight="1">
      <c r="B10" s="13" t="s">
        <v>34</v>
      </c>
      <c r="C10" s="9" t="s">
        <v>35</v>
      </c>
      <c r="D10" s="14" t="s">
        <v>11</v>
      </c>
      <c r="F10" s="10" t="s">
        <v>14</v>
      </c>
      <c r="G10" s="10" t="s">
        <v>36</v>
      </c>
      <c r="H10" s="11" t="s">
        <v>37</v>
      </c>
      <c r="I10" s="12">
        <v>5.0</v>
      </c>
    </row>
    <row r="11" ht="15.75" customHeight="1">
      <c r="B11" s="13" t="s">
        <v>38</v>
      </c>
      <c r="C11" s="9" t="s">
        <v>39</v>
      </c>
      <c r="D11" s="14" t="s">
        <v>11</v>
      </c>
      <c r="F11" s="10" t="s">
        <v>14</v>
      </c>
      <c r="G11" s="10" t="s">
        <v>40</v>
      </c>
      <c r="H11" s="11" t="s">
        <v>25</v>
      </c>
      <c r="I11" s="12">
        <v>5.0</v>
      </c>
    </row>
    <row r="12" ht="15.75" customHeight="1">
      <c r="B12" s="13" t="s">
        <v>41</v>
      </c>
      <c r="C12" s="9" t="s">
        <v>42</v>
      </c>
      <c r="D12" s="14" t="s">
        <v>11</v>
      </c>
      <c r="F12" s="12" t="s">
        <v>18</v>
      </c>
      <c r="G12" s="12" t="s">
        <v>43</v>
      </c>
      <c r="H12" s="11" t="s">
        <v>44</v>
      </c>
      <c r="I12" s="12">
        <v>5.0</v>
      </c>
    </row>
    <row r="13" ht="15.75" customHeight="1">
      <c r="B13" s="13" t="s">
        <v>45</v>
      </c>
      <c r="C13" s="9" t="s">
        <v>46</v>
      </c>
      <c r="D13" s="14" t="s">
        <v>11</v>
      </c>
      <c r="F13" s="12" t="s">
        <v>18</v>
      </c>
      <c r="G13" s="12" t="s">
        <v>47</v>
      </c>
      <c r="H13" s="11" t="s">
        <v>48</v>
      </c>
      <c r="I13" s="12">
        <v>5.0</v>
      </c>
    </row>
    <row r="14" ht="15.75" customHeight="1">
      <c r="B14" s="13" t="s">
        <v>49</v>
      </c>
      <c r="C14" s="9" t="s">
        <v>50</v>
      </c>
      <c r="D14" s="14" t="s">
        <v>11</v>
      </c>
      <c r="F14" s="12" t="s">
        <v>18</v>
      </c>
      <c r="G14" s="12" t="s">
        <v>51</v>
      </c>
      <c r="H14" s="11" t="s">
        <v>52</v>
      </c>
      <c r="I14" s="12">
        <v>5.0</v>
      </c>
    </row>
    <row r="15" ht="15.75" customHeight="1">
      <c r="B15" s="13" t="s">
        <v>53</v>
      </c>
      <c r="C15" s="9" t="s">
        <v>54</v>
      </c>
      <c r="D15" s="14" t="s">
        <v>11</v>
      </c>
      <c r="F15" s="12" t="s">
        <v>18</v>
      </c>
      <c r="G15" s="12" t="s">
        <v>55</v>
      </c>
      <c r="H15" s="11" t="s">
        <v>56</v>
      </c>
      <c r="I15" s="12">
        <v>5.0</v>
      </c>
    </row>
    <row r="16" ht="15.75" customHeight="1">
      <c r="B16" s="13" t="s">
        <v>57</v>
      </c>
      <c r="C16" s="9" t="s">
        <v>58</v>
      </c>
      <c r="D16" s="14" t="s">
        <v>11</v>
      </c>
      <c r="F16" s="12" t="s">
        <v>22</v>
      </c>
      <c r="G16" s="12" t="s">
        <v>59</v>
      </c>
      <c r="H16" s="11" t="s">
        <v>60</v>
      </c>
      <c r="I16" s="12">
        <v>5.0</v>
      </c>
    </row>
    <row r="17" ht="15.75" customHeight="1">
      <c r="B17" s="13" t="s">
        <v>61</v>
      </c>
      <c r="C17" s="9" t="s">
        <v>62</v>
      </c>
      <c r="D17" s="14" t="s">
        <v>11</v>
      </c>
      <c r="F17" s="12" t="s">
        <v>22</v>
      </c>
      <c r="G17" s="12" t="s">
        <v>63</v>
      </c>
      <c r="H17" s="11" t="s">
        <v>64</v>
      </c>
      <c r="I17" s="12">
        <v>5.0</v>
      </c>
    </row>
    <row r="18" ht="15.75" customHeight="1">
      <c r="B18" s="13" t="s">
        <v>65</v>
      </c>
      <c r="C18" s="9" t="s">
        <v>66</v>
      </c>
      <c r="D18" s="14" t="s">
        <v>11</v>
      </c>
      <c r="F18" s="12" t="s">
        <v>22</v>
      </c>
      <c r="G18" s="12" t="s">
        <v>67</v>
      </c>
      <c r="H18" s="11" t="s">
        <v>68</v>
      </c>
      <c r="I18" s="12">
        <v>5.0</v>
      </c>
    </row>
    <row r="19" ht="15.75" customHeight="1">
      <c r="F19" s="12" t="s">
        <v>22</v>
      </c>
      <c r="G19" s="12" t="s">
        <v>69</v>
      </c>
      <c r="H19" s="11" t="s">
        <v>70</v>
      </c>
      <c r="I19" s="12">
        <v>5.0</v>
      </c>
    </row>
    <row r="20" ht="15.75" customHeight="1">
      <c r="F20" s="12" t="s">
        <v>26</v>
      </c>
      <c r="G20" s="12" t="s">
        <v>71</v>
      </c>
      <c r="H20" s="11" t="s">
        <v>72</v>
      </c>
      <c r="I20" s="12">
        <v>5.0</v>
      </c>
    </row>
    <row r="21" ht="15.75" customHeight="1">
      <c r="F21" s="12" t="s">
        <v>26</v>
      </c>
      <c r="G21" s="12" t="s">
        <v>73</v>
      </c>
      <c r="H21" s="11" t="s">
        <v>74</v>
      </c>
      <c r="I21" s="12">
        <v>5.0</v>
      </c>
    </row>
    <row r="22" ht="15.75" customHeight="1">
      <c r="F22" s="12" t="s">
        <v>26</v>
      </c>
      <c r="G22" s="12" t="s">
        <v>75</v>
      </c>
      <c r="H22" s="11" t="s">
        <v>76</v>
      </c>
      <c r="I22" s="12">
        <v>5.0</v>
      </c>
    </row>
    <row r="23" ht="15.75" customHeight="1">
      <c r="F23" s="12" t="s">
        <v>26</v>
      </c>
      <c r="G23" s="12" t="s">
        <v>77</v>
      </c>
      <c r="H23" s="11" t="s">
        <v>78</v>
      </c>
      <c r="I23" s="12">
        <v>5.0</v>
      </c>
    </row>
    <row r="24" ht="15.75" customHeight="1">
      <c r="F24" s="13" t="s">
        <v>30</v>
      </c>
      <c r="G24" s="12" t="s">
        <v>79</v>
      </c>
      <c r="H24" s="11" t="s">
        <v>80</v>
      </c>
      <c r="I24" s="12">
        <v>5.0</v>
      </c>
    </row>
    <row r="25" ht="15.75" customHeight="1">
      <c r="F25" s="13" t="s">
        <v>30</v>
      </c>
      <c r="G25" s="12" t="s">
        <v>81</v>
      </c>
      <c r="H25" s="11" t="s">
        <v>82</v>
      </c>
      <c r="I25" s="12">
        <v>5.0</v>
      </c>
    </row>
    <row r="26" ht="15.75" customHeight="1">
      <c r="F26" s="13" t="s">
        <v>30</v>
      </c>
      <c r="G26" s="12" t="s">
        <v>83</v>
      </c>
      <c r="H26" s="11" t="s">
        <v>84</v>
      </c>
      <c r="I26" s="12">
        <v>5.0</v>
      </c>
    </row>
    <row r="27" ht="15.75" customHeight="1">
      <c r="F27" s="13" t="s">
        <v>30</v>
      </c>
      <c r="G27" s="12" t="s">
        <v>85</v>
      </c>
      <c r="H27" s="11" t="s">
        <v>86</v>
      </c>
      <c r="I27" s="12">
        <v>5.0</v>
      </c>
    </row>
    <row r="28" ht="15.75" customHeight="1">
      <c r="F28" s="13" t="s">
        <v>34</v>
      </c>
      <c r="G28" s="12" t="s">
        <v>87</v>
      </c>
      <c r="H28" s="15" t="s">
        <v>88</v>
      </c>
      <c r="I28" s="12">
        <v>5.0</v>
      </c>
    </row>
    <row r="29" ht="15.75" customHeight="1">
      <c r="F29" s="13" t="s">
        <v>34</v>
      </c>
      <c r="G29" s="12" t="s">
        <v>89</v>
      </c>
      <c r="H29" s="15" t="s">
        <v>90</v>
      </c>
      <c r="I29" s="12">
        <v>5.0</v>
      </c>
    </row>
    <row r="30" ht="15.75" customHeight="1">
      <c r="F30" s="13" t="s">
        <v>34</v>
      </c>
      <c r="G30" s="12" t="s">
        <v>91</v>
      </c>
      <c r="H30" s="15" t="s">
        <v>92</v>
      </c>
      <c r="I30" s="12">
        <v>5.0</v>
      </c>
    </row>
    <row r="31" ht="15.75" customHeight="1">
      <c r="F31" s="13" t="s">
        <v>34</v>
      </c>
      <c r="G31" s="12" t="s">
        <v>93</v>
      </c>
      <c r="H31" s="15" t="s">
        <v>94</v>
      </c>
      <c r="I31" s="12">
        <v>5.0</v>
      </c>
    </row>
    <row r="32" ht="15.75" customHeight="1">
      <c r="F32" s="13" t="s">
        <v>38</v>
      </c>
      <c r="G32" s="12" t="s">
        <v>95</v>
      </c>
      <c r="H32" s="15" t="s">
        <v>96</v>
      </c>
      <c r="I32" s="12">
        <v>5.0</v>
      </c>
    </row>
    <row r="33" ht="15.75" customHeight="1">
      <c r="F33" s="13" t="s">
        <v>38</v>
      </c>
      <c r="G33" s="12" t="s">
        <v>97</v>
      </c>
      <c r="H33" s="15" t="s">
        <v>98</v>
      </c>
      <c r="I33" s="12">
        <v>5.0</v>
      </c>
    </row>
    <row r="34" ht="15.75" customHeight="1">
      <c r="F34" s="13" t="s">
        <v>38</v>
      </c>
      <c r="G34" s="12" t="s">
        <v>99</v>
      </c>
      <c r="H34" s="15" t="s">
        <v>100</v>
      </c>
      <c r="I34" s="12">
        <v>5.0</v>
      </c>
    </row>
    <row r="35" ht="15.75" customHeight="1">
      <c r="F35" s="13" t="s">
        <v>38</v>
      </c>
      <c r="G35" s="12" t="s">
        <v>101</v>
      </c>
      <c r="H35" s="15" t="s">
        <v>102</v>
      </c>
      <c r="I35" s="12">
        <v>5.0</v>
      </c>
    </row>
    <row r="36" ht="15.75" customHeight="1">
      <c r="F36" s="13" t="s">
        <v>41</v>
      </c>
      <c r="G36" s="12" t="s">
        <v>103</v>
      </c>
      <c r="H36" s="15" t="s">
        <v>104</v>
      </c>
      <c r="I36" s="12">
        <v>5.0</v>
      </c>
    </row>
    <row r="37" ht="15.75" customHeight="1">
      <c r="F37" s="13" t="s">
        <v>41</v>
      </c>
      <c r="G37" s="12" t="s">
        <v>105</v>
      </c>
      <c r="H37" s="15" t="s">
        <v>106</v>
      </c>
      <c r="I37" s="12">
        <v>5.0</v>
      </c>
    </row>
    <row r="38" ht="15.75" customHeight="1">
      <c r="F38" s="13" t="s">
        <v>41</v>
      </c>
      <c r="G38" s="12" t="s">
        <v>107</v>
      </c>
      <c r="H38" s="15" t="s">
        <v>108</v>
      </c>
      <c r="I38" s="12">
        <v>5.0</v>
      </c>
    </row>
    <row r="39" ht="15.75" customHeight="1">
      <c r="F39" s="13" t="s">
        <v>41</v>
      </c>
      <c r="G39" s="12" t="s">
        <v>109</v>
      </c>
      <c r="H39" s="15" t="s">
        <v>110</v>
      </c>
      <c r="I39" s="12">
        <v>5.0</v>
      </c>
    </row>
    <row r="40" ht="15.75" customHeight="1">
      <c r="F40" s="13" t="s">
        <v>45</v>
      </c>
      <c r="G40" s="12" t="s">
        <v>111</v>
      </c>
      <c r="H40" s="15" t="s">
        <v>112</v>
      </c>
      <c r="I40" s="12">
        <v>5.0</v>
      </c>
    </row>
    <row r="41" ht="15.75" customHeight="1">
      <c r="F41" s="13" t="s">
        <v>45</v>
      </c>
      <c r="G41" s="12" t="s">
        <v>113</v>
      </c>
      <c r="H41" s="15" t="s">
        <v>114</v>
      </c>
      <c r="I41" s="12">
        <v>5.0</v>
      </c>
    </row>
    <row r="42" ht="15.75" customHeight="1">
      <c r="F42" s="13" t="s">
        <v>45</v>
      </c>
      <c r="G42" s="12" t="s">
        <v>115</v>
      </c>
      <c r="H42" s="15" t="s">
        <v>116</v>
      </c>
      <c r="I42" s="12">
        <v>5.0</v>
      </c>
    </row>
    <row r="43" ht="15.75" customHeight="1">
      <c r="F43" s="13" t="s">
        <v>45</v>
      </c>
      <c r="G43" s="12" t="s">
        <v>117</v>
      </c>
      <c r="H43" s="15" t="s">
        <v>94</v>
      </c>
      <c r="I43" s="12">
        <v>5.0</v>
      </c>
    </row>
    <row r="44" ht="15.75" customHeight="1">
      <c r="F44" s="13" t="s">
        <v>49</v>
      </c>
      <c r="G44" s="12" t="s">
        <v>118</v>
      </c>
      <c r="H44" s="15" t="s">
        <v>119</v>
      </c>
      <c r="I44" s="12">
        <v>5.0</v>
      </c>
    </row>
    <row r="45" ht="15.75" customHeight="1">
      <c r="F45" s="13" t="s">
        <v>49</v>
      </c>
      <c r="G45" s="12" t="s">
        <v>120</v>
      </c>
      <c r="H45" s="15" t="s">
        <v>121</v>
      </c>
      <c r="I45" s="12">
        <v>5.0</v>
      </c>
    </row>
    <row r="46" ht="15.75" customHeight="1">
      <c r="F46" s="13" t="s">
        <v>49</v>
      </c>
      <c r="G46" s="12" t="s">
        <v>122</v>
      </c>
      <c r="H46" s="15" t="s">
        <v>123</v>
      </c>
      <c r="I46" s="12">
        <v>5.0</v>
      </c>
    </row>
    <row r="47" ht="15.75" customHeight="1">
      <c r="F47" s="13" t="s">
        <v>49</v>
      </c>
      <c r="G47" s="12" t="s">
        <v>124</v>
      </c>
      <c r="H47" s="15" t="s">
        <v>125</v>
      </c>
      <c r="I47" s="12">
        <v>5.0</v>
      </c>
    </row>
    <row r="48" ht="15.75" customHeight="1">
      <c r="F48" s="13" t="s">
        <v>53</v>
      </c>
      <c r="G48" s="12" t="s">
        <v>126</v>
      </c>
      <c r="H48" s="15" t="s">
        <v>127</v>
      </c>
      <c r="I48" s="12">
        <v>5.0</v>
      </c>
    </row>
    <row r="49" ht="15.75" customHeight="1">
      <c r="F49" s="13" t="s">
        <v>53</v>
      </c>
      <c r="G49" s="12" t="s">
        <v>128</v>
      </c>
      <c r="H49" s="15" t="s">
        <v>129</v>
      </c>
      <c r="I49" s="12">
        <v>5.0</v>
      </c>
    </row>
    <row r="50" ht="15.75" customHeight="1">
      <c r="F50" s="13" t="s">
        <v>53</v>
      </c>
      <c r="G50" s="12" t="s">
        <v>130</v>
      </c>
      <c r="H50" s="15" t="s">
        <v>131</v>
      </c>
      <c r="I50" s="12">
        <v>5.0</v>
      </c>
    </row>
    <row r="51" ht="15.75" customHeight="1">
      <c r="F51" s="13" t="s">
        <v>53</v>
      </c>
      <c r="G51" s="12" t="s">
        <v>132</v>
      </c>
      <c r="H51" s="15" t="s">
        <v>133</v>
      </c>
      <c r="I51" s="12">
        <v>5.0</v>
      </c>
    </row>
    <row r="52" ht="15.75" customHeight="1">
      <c r="F52" s="13" t="s">
        <v>57</v>
      </c>
      <c r="G52" s="12" t="s">
        <v>134</v>
      </c>
      <c r="H52" s="15" t="s">
        <v>135</v>
      </c>
      <c r="I52" s="12">
        <v>5.0</v>
      </c>
    </row>
    <row r="53" ht="15.75" customHeight="1">
      <c r="F53" s="13" t="s">
        <v>57</v>
      </c>
      <c r="G53" s="12" t="s">
        <v>136</v>
      </c>
      <c r="H53" s="15" t="s">
        <v>137</v>
      </c>
      <c r="I53" s="12">
        <v>5.0</v>
      </c>
    </row>
    <row r="54" ht="15.75" customHeight="1">
      <c r="F54" s="13" t="s">
        <v>57</v>
      </c>
      <c r="G54" s="12" t="s">
        <v>138</v>
      </c>
      <c r="H54" s="15" t="s">
        <v>139</v>
      </c>
      <c r="I54" s="12">
        <v>5.0</v>
      </c>
    </row>
    <row r="55" ht="15.75" customHeight="1">
      <c r="F55" s="13" t="s">
        <v>57</v>
      </c>
      <c r="G55" s="12" t="s">
        <v>140</v>
      </c>
      <c r="H55" s="15" t="s">
        <v>141</v>
      </c>
      <c r="I55" s="12">
        <v>5.0</v>
      </c>
    </row>
    <row r="56" ht="15.75" customHeight="1">
      <c r="F56" s="13" t="s">
        <v>61</v>
      </c>
      <c r="G56" s="12" t="s">
        <v>142</v>
      </c>
      <c r="H56" s="15" t="s">
        <v>143</v>
      </c>
      <c r="I56" s="12">
        <v>5.0</v>
      </c>
    </row>
    <row r="57" ht="15.75" customHeight="1">
      <c r="F57" s="13" t="s">
        <v>61</v>
      </c>
      <c r="G57" s="12" t="s">
        <v>144</v>
      </c>
      <c r="H57" s="15" t="s">
        <v>145</v>
      </c>
      <c r="I57" s="12">
        <v>5.0</v>
      </c>
    </row>
    <row r="58" ht="15.75" customHeight="1">
      <c r="F58" s="13" t="s">
        <v>61</v>
      </c>
      <c r="G58" s="12" t="s">
        <v>146</v>
      </c>
      <c r="H58" s="15" t="s">
        <v>147</v>
      </c>
      <c r="I58" s="12">
        <v>5.0</v>
      </c>
    </row>
    <row r="59" ht="15.75" customHeight="1">
      <c r="F59" s="13" t="s">
        <v>61</v>
      </c>
      <c r="G59" s="12" t="s">
        <v>148</v>
      </c>
      <c r="H59" s="15" t="s">
        <v>149</v>
      </c>
      <c r="I59" s="12">
        <v>5.0</v>
      </c>
    </row>
    <row r="60" ht="15.75" customHeight="1">
      <c r="F60" s="13" t="s">
        <v>65</v>
      </c>
      <c r="G60" s="12" t="s">
        <v>150</v>
      </c>
      <c r="H60" s="15" t="s">
        <v>151</v>
      </c>
      <c r="I60" s="12">
        <v>5.0</v>
      </c>
    </row>
    <row r="61" ht="15.75" customHeight="1">
      <c r="F61" s="13" t="s">
        <v>65</v>
      </c>
      <c r="G61" s="12" t="s">
        <v>152</v>
      </c>
      <c r="H61" s="15" t="s">
        <v>153</v>
      </c>
      <c r="I61" s="12">
        <v>5.0</v>
      </c>
    </row>
    <row r="62" ht="15.75" customHeight="1">
      <c r="F62" s="13" t="s">
        <v>65</v>
      </c>
      <c r="G62" s="12" t="s">
        <v>154</v>
      </c>
      <c r="H62" s="15" t="s">
        <v>155</v>
      </c>
      <c r="I62" s="12">
        <v>5.0</v>
      </c>
    </row>
    <row r="63" ht="15.75" customHeight="1">
      <c r="F63" s="13" t="s">
        <v>65</v>
      </c>
      <c r="G63" s="12" t="s">
        <v>156</v>
      </c>
      <c r="H63" s="15" t="s">
        <v>157</v>
      </c>
      <c r="I63" s="12">
        <v>5.0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D2"/>
    <mergeCell ref="F2: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6" t="s">
        <v>158</v>
      </c>
      <c r="C2" s="17" t="s">
        <v>159</v>
      </c>
      <c r="D2" s="16" t="s">
        <v>160</v>
      </c>
    </row>
    <row r="3" ht="15.75" customHeight="1">
      <c r="B3" s="18">
        <v>46279.0</v>
      </c>
      <c r="C3" s="19">
        <f>SUM(Tareas!I4:I63)</f>
        <v>300</v>
      </c>
      <c r="D3" s="20">
        <v>300.0</v>
      </c>
    </row>
    <row r="4" ht="15.75" customHeight="1">
      <c r="B4" s="18">
        <v>46280.0</v>
      </c>
      <c r="C4" s="21">
        <f t="shared" ref="C4:C17" si="1">C3-$C$19</f>
        <v>278.5714286</v>
      </c>
      <c r="D4" s="20">
        <v>280.0</v>
      </c>
    </row>
    <row r="5" ht="15.75" customHeight="1">
      <c r="B5" s="18">
        <v>46281.0</v>
      </c>
      <c r="C5" s="21">
        <f t="shared" si="1"/>
        <v>257.1428571</v>
      </c>
      <c r="D5" s="20">
        <v>260.0</v>
      </c>
    </row>
    <row r="6" ht="15.75" customHeight="1">
      <c r="B6" s="18">
        <v>46282.0</v>
      </c>
      <c r="C6" s="21">
        <f t="shared" si="1"/>
        <v>235.7142857</v>
      </c>
      <c r="D6" s="20">
        <v>237.0</v>
      </c>
      <c r="F6" s="22"/>
    </row>
    <row r="7" ht="15.75" customHeight="1">
      <c r="B7" s="18">
        <v>46283.0</v>
      </c>
      <c r="C7" s="21">
        <f t="shared" si="1"/>
        <v>214.2857143</v>
      </c>
      <c r="D7" s="20">
        <v>229.0</v>
      </c>
      <c r="F7" s="22"/>
    </row>
    <row r="8" ht="15.75" customHeight="1">
      <c r="B8" s="18">
        <v>46286.0</v>
      </c>
      <c r="C8" s="21">
        <f t="shared" si="1"/>
        <v>192.8571429</v>
      </c>
      <c r="D8" s="20">
        <v>205.0</v>
      </c>
      <c r="F8" s="23"/>
    </row>
    <row r="9" ht="15.75" customHeight="1">
      <c r="B9" s="18">
        <v>46287.0</v>
      </c>
      <c r="C9" s="21">
        <f t="shared" si="1"/>
        <v>171.4285714</v>
      </c>
      <c r="D9" s="20">
        <v>180.0</v>
      </c>
      <c r="F9" s="22"/>
    </row>
    <row r="10" ht="15.75" customHeight="1">
      <c r="B10" s="18">
        <v>46288.0</v>
      </c>
      <c r="C10" s="21">
        <f t="shared" si="1"/>
        <v>150</v>
      </c>
      <c r="D10" s="20">
        <v>155.0</v>
      </c>
      <c r="F10" s="23"/>
    </row>
    <row r="11" ht="15.75" customHeight="1">
      <c r="B11" s="18">
        <v>46289.0</v>
      </c>
      <c r="C11" s="21">
        <f t="shared" si="1"/>
        <v>128.5714286</v>
      </c>
      <c r="D11" s="20">
        <v>130.0</v>
      </c>
      <c r="F11" s="23"/>
    </row>
    <row r="12" ht="15.75" customHeight="1">
      <c r="B12" s="18">
        <v>46290.0</v>
      </c>
      <c r="C12" s="21">
        <f t="shared" si="1"/>
        <v>107.1428571</v>
      </c>
      <c r="D12" s="20">
        <v>105.0</v>
      </c>
      <c r="F12" s="23"/>
    </row>
    <row r="13" ht="15.75" customHeight="1">
      <c r="B13" s="18">
        <v>46293.0</v>
      </c>
      <c r="C13" s="21">
        <f t="shared" si="1"/>
        <v>85.71428571</v>
      </c>
      <c r="D13" s="20">
        <v>78.0</v>
      </c>
      <c r="F13" s="23"/>
      <c r="O13" s="24" t="s">
        <v>161</v>
      </c>
    </row>
    <row r="14" ht="15.75" customHeight="1">
      <c r="B14" s="18">
        <v>46294.0</v>
      </c>
      <c r="C14" s="21">
        <f t="shared" si="1"/>
        <v>64.28571429</v>
      </c>
      <c r="D14" s="20">
        <v>55.0</v>
      </c>
      <c r="F14" s="23"/>
    </row>
    <row r="15" ht="15.75" customHeight="1">
      <c r="B15" s="18">
        <v>46295.0</v>
      </c>
      <c r="C15" s="21">
        <f t="shared" si="1"/>
        <v>42.85714286</v>
      </c>
      <c r="D15" s="20">
        <v>34.0</v>
      </c>
      <c r="F15" s="23"/>
    </row>
    <row r="16" ht="15.75" customHeight="1">
      <c r="B16" s="18">
        <v>46296.0</v>
      </c>
      <c r="C16" s="21">
        <f t="shared" si="1"/>
        <v>21.42857143</v>
      </c>
      <c r="D16" s="20">
        <v>12.0</v>
      </c>
    </row>
    <row r="17" ht="15.75" customHeight="1">
      <c r="B17" s="18">
        <v>46297.0</v>
      </c>
      <c r="C17" s="21">
        <f t="shared" si="1"/>
        <v>0</v>
      </c>
      <c r="D17" s="20">
        <v>0.0</v>
      </c>
    </row>
    <row r="18" ht="15.75" customHeight="1"/>
    <row r="19" ht="15.75" customHeight="1">
      <c r="C19" s="24">
        <f>C3/14</f>
        <v>21.42857143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