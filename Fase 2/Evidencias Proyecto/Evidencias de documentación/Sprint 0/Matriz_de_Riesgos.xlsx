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Riesgos" sheetId="1" r:id="rId4"/>
    <sheet state="visible" name="Tipo Riesgo" sheetId="2" r:id="rId5"/>
    <sheet state="visible" name="Matriz de Riesgos" sheetId="3" r:id="rId6"/>
  </sheets>
  <definedNames/>
  <calcPr/>
  <extLst>
    <ext uri="GoogleSheetsCustomDataVersion2">
      <go:sheetsCustomData xmlns:go="http://customooxmlschemas.google.com/" r:id="rId7" roundtripDataChecksum="/bjMhg43Tdq10vKGupGUbEy6kCdFp9g+LHwRkvXIluc="/>
    </ext>
  </extLst>
</workbook>
</file>

<file path=xl/sharedStrings.xml><?xml version="1.0" encoding="utf-8"?>
<sst xmlns="http://schemas.openxmlformats.org/spreadsheetml/2006/main" count="270" uniqueCount="181">
  <si>
    <r>
      <rPr>
        <rFont val="Calibri"/>
        <color theme="1"/>
        <sz val="11.0"/>
      </rPr>
      <t>R1 – Vulnerabilidades npm audit en backend (</t>
    </r>
    <r>
      <rPr>
        <rFont val="Arial Unicode MS"/>
        <color theme="1"/>
        <sz val="11.0"/>
      </rPr>
      <t>LOCUST_STRESS_TEST_REPORT.md</t>
    </r>
    <r>
      <rPr>
        <rFont val="Calibri"/>
        <color theme="1"/>
        <sz val="11.0"/>
      </rPr>
      <t>)</t>
    </r>
  </si>
  <si>
    <t>R2 – Falla en integración con Mercado Pago (checkout/webhooks)</t>
  </si>
  <si>
    <t>Fecha</t>
  </si>
  <si>
    <t>R3 – Reglas de Firestore/Storage mal configuradas</t>
  </si>
  <si>
    <t>REGISTRO DE RIESGOS</t>
  </si>
  <si>
    <r>
      <rPr>
        <rFont val="Calibri"/>
        <color theme="1"/>
        <sz val="11.0"/>
      </rPr>
      <t xml:space="preserve">R4 – Cobertura de pruebas de carga limitada solo a </t>
    </r>
    <r>
      <rPr>
        <rFont val="Arial Unicode MS"/>
        <color theme="1"/>
        <sz val="11.0"/>
      </rPr>
      <t>/health</t>
    </r>
  </si>
  <si>
    <t>R5 – Precisión del análisis de cabello con IA</t>
  </si>
  <si>
    <t>R6 – Exposición de secretos/credenciales</t>
  </si>
  <si>
    <t>R7 – Incompatibilidad Coverage.py + gevent en Python 3.14</t>
  </si>
  <si>
    <t>R8 – Acceso no autorizado al panel admin</t>
  </si>
  <si>
    <t>R9 – Picos de tráfico no probados en checkout/catálogo</t>
  </si>
  <si>
    <t>Identificación</t>
  </si>
  <si>
    <t>R10 – Documentación técnica desactualizada</t>
  </si>
  <si>
    <t>Riesgo/Evento de Riesgo</t>
  </si>
  <si>
    <t>Categoría</t>
  </si>
  <si>
    <r>
      <rPr>
        <rFont val="Calibri"/>
        <color theme="1"/>
        <sz val="11.0"/>
      </rPr>
      <t>R11</t>
    </r>
    <r>
      <rPr>
        <rFont val="Segoe UI"/>
        <color theme="1"/>
        <sz val="11.0"/>
      </rPr>
      <t> – Fallo en notificaciones WhatsApp (Twilio)</t>
    </r>
  </si>
  <si>
    <t>Fuente/Causa/Condición</t>
  </si>
  <si>
    <t>Impacta a/Consecuencias</t>
  </si>
  <si>
    <r>
      <rPr>
        <rFont val="Calibri"/>
        <color theme="1"/>
        <sz val="11.0"/>
      </rPr>
      <t>R12</t>
    </r>
    <r>
      <rPr>
        <rFont val="Segoe UI"/>
        <color theme="1"/>
        <sz val="11.0"/>
      </rPr>
      <t> – Fallo en envío de correos transaccionales (SMTP)</t>
    </r>
  </si>
  <si>
    <t>Descripción y Comentarios</t>
  </si>
  <si>
    <t>Probabilidad</t>
  </si>
  <si>
    <t>Valor de Probabilidad</t>
  </si>
  <si>
    <t>Impacto</t>
  </si>
  <si>
    <r>
      <rPr>
        <rFont val="Calibri"/>
        <color theme="1"/>
        <sz val="11.0"/>
      </rPr>
      <t>R13</t>
    </r>
    <r>
      <rPr>
        <rFont val="Segoe UI"/>
        <color theme="1"/>
        <sz val="11.0"/>
      </rPr>
      <t> – Inconsistencias en </t>
    </r>
    <r>
      <rPr>
        <rFont val="Consolas"/>
        <color theme="1"/>
        <sz val="11.0"/>
      </rPr>
      <t>products.json</t>
    </r>
    <r>
      <rPr>
        <rFont val="Segoe UI"/>
        <color theme="1"/>
        <sz val="11.0"/>
      </rPr>
      <t> por migraciones</t>
    </r>
  </si>
  <si>
    <t>Valor Impacto</t>
  </si>
  <si>
    <t>Magnitud</t>
  </si>
  <si>
    <r>
      <rPr>
        <rFont val="Calibri"/>
        <color theme="1"/>
        <sz val="11.0"/>
      </rPr>
      <t>R14</t>
    </r>
    <r>
      <rPr>
        <rFont val="Segoe UI"/>
        <color theme="1"/>
        <sz val="11.0"/>
      </rPr>
      <t> – Falta de rate limiting en la API</t>
    </r>
  </si>
  <si>
    <t>Asignado a (Responsable)</t>
  </si>
  <si>
    <t>Estrategia</t>
  </si>
  <si>
    <t>Plan de Acción</t>
  </si>
  <si>
    <r>
      <rPr>
        <rFont val="Calibri"/>
        <color theme="1"/>
        <sz val="11.0"/>
      </rPr>
      <t>R15</t>
    </r>
    <r>
      <rPr>
        <rFont val="Segoe UI"/>
        <color theme="1"/>
        <sz val="11.0"/>
      </rPr>
      <t> – Incompatibilidad entre navegadores (JS vanilla)</t>
    </r>
  </si>
  <si>
    <r>
      <rPr>
        <rFont val="Calibri"/>
        <color theme="1"/>
        <sz val="11.0"/>
      </rPr>
      <t>R16</t>
    </r>
    <r>
      <rPr>
        <rFont val="Segoe UI"/>
        <color theme="1"/>
        <sz val="11.0"/>
      </rPr>
      <t> – Rotación de personal clave</t>
    </r>
  </si>
  <si>
    <r>
      <rPr>
        <rFont val="Calibri"/>
        <color theme="1"/>
        <sz val="11.0"/>
      </rPr>
      <t>R17</t>
    </r>
    <r>
      <rPr>
        <rFont val="Segoe UI"/>
        <color theme="1"/>
        <sz val="11.0"/>
      </rPr>
      <t> – Dependencia total de Firebase como proveedor único</t>
    </r>
  </si>
  <si>
    <r>
      <rPr>
        <rFont val="Calibri"/>
        <color theme="1"/>
        <sz val="11.0"/>
      </rPr>
      <t>R18</t>
    </r>
    <r>
      <rPr>
        <rFont val="Segoe UI"/>
        <color theme="1"/>
        <sz val="11.0"/>
      </rPr>
      <t> – Pérdida de imágenes/archivos en Storage</t>
    </r>
  </si>
  <si>
    <t>R1</t>
  </si>
  <si>
    <t>Vulnerabilidades en dependencias del backend</t>
  </si>
  <si>
    <t>Tecnológico</t>
  </si>
  <si>
    <t>Dependencias desactualizadas (firebase-admin y mercadopago)</t>
  </si>
  <si>
    <t>Exposición a fallos de seguridad en producción</t>
  </si>
  <si>
    <t>9 vulnerabilidades moderadas detectadas por npm audit</t>
  </si>
  <si>
    <t>Alta</t>
  </si>
  <si>
    <t>Alto</t>
  </si>
  <si>
    <t>Benjamin Stavrakopulos</t>
  </si>
  <si>
    <t>Mitigar</t>
  </si>
  <si>
    <t>Actualizar firebase-admin y mercadopago tras probarlos en un ambiente de staging</t>
  </si>
  <si>
    <t>R2</t>
  </si>
  <si>
    <t>Fallo en la integración con Mercado Pago</t>
  </si>
  <si>
    <t>Financiero</t>
  </si>
  <si>
    <t>Dependencia de un servicio de pago externo</t>
  </si>
  <si>
    <t>Pérdida de ventas y pedidos inconsistentes</t>
  </si>
  <si>
    <t>Caídas o cambios en la API de Mercado Pago afectan el checkout</t>
  </si>
  <si>
    <t>Media</t>
  </si>
  <si>
    <t>Bastian Lazo</t>
  </si>
  <si>
    <t>Agregar reintentos y monitoreo en routes/payment.js y webhook.js</t>
  </si>
  <si>
    <t>R3</t>
  </si>
  <si>
    <t>Reglas de seguridad de Firestore/Storage mal configuradas</t>
  </si>
  <si>
    <t>Seguridad</t>
  </si>
  <si>
    <t>Errores en firestore.rules o storage.rules</t>
  </si>
  <si>
    <t>Exposición de datos de clientes y pedidos</t>
  </si>
  <si>
    <t>Configuración incorrecta permite lectura o escritura no autorizada</t>
  </si>
  <si>
    <t>Revisar y testear las reglas con el emulador de Firebase antes de cada deploy</t>
  </si>
  <si>
    <t>Información General del Proyecto</t>
  </si>
  <si>
    <t>R4</t>
  </si>
  <si>
    <t>Cobertura de pruebas de carga limitada</t>
  </si>
  <si>
    <t>Locust solo valida el endpoint /health</t>
  </si>
  <si>
    <t>Fallas no detectadas en checkout y login</t>
  </si>
  <si>
    <t>Los flujos críticos de pago y autenticación no tienen pruebas de estrés propias</t>
  </si>
  <si>
    <t>Medio</t>
  </si>
  <si>
    <t>Diseñar escenarios Locust para checkout y autenticación en staging</t>
  </si>
  <si>
    <t>R5</t>
  </si>
  <si>
    <t>Baja precisión del análisis de cabello con IA</t>
  </si>
  <si>
    <t>Modelo de IA o fotos de baja calidad</t>
  </si>
  <si>
    <t>Pérdida de confianza del cliente en el diagnóstico</t>
  </si>
  <si>
    <t>Resultados poco representativos del estado real del cabello</t>
  </si>
  <si>
    <t>Validar la calidad de la imagen y agregar disclaimers en analisis-cabello.html</t>
  </si>
  <si>
    <t>R6</t>
  </si>
  <si>
    <t>Exposición de secretos o credenciales</t>
  </si>
  <si>
    <t>Archivos .env o service-account subidos por error</t>
  </si>
  <si>
    <t>Acceso no autorizado a Firebase o a pagos</t>
  </si>
  <si>
    <t>Filtración de claves sensibles en el repositorio</t>
  </si>
  <si>
    <t>Baja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</si>
  <si>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</si>
  <si>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t>Ejecutar npm run security:scan antes de cada PR</t>
  </si>
  <si>
    <t>R7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</si>
  <si>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</si>
  <si>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>Monsite</t>
  </si>
  <si>
    <t>Incompatibilidad de Coverage.py con Python 3.14</t>
  </si>
  <si>
    <t>Conflicto entre gevent y Coverage.py</t>
  </si>
  <si>
    <t>Falta de métricas de cobertura vigentes</t>
  </si>
  <si>
    <t>No se puede generar el porcentaje de cobertura del escenario de carga</t>
  </si>
  <si>
    <t>Bajo</t>
  </si>
  <si>
    <t>Aceptar</t>
  </si>
  <si>
    <t>Documentar la limitación y revisar en el futuro una versión compatible</t>
  </si>
  <si>
    <t>R8</t>
  </si>
  <si>
    <t>Acceso no autorizado al panel de administración</t>
  </si>
  <si>
    <t>Falla en la validación de roles o sesión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</si>
  <si>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Director del Proyecto</t>
    </r>
  </si>
  <si>
    <t>Modificación indebida de productos o pedidos</t>
  </si>
  <si>
    <t>Un usuario sin permisos accede a rutas admin si el guard falla</t>
  </si>
  <si>
    <t>Reforzar admin-auth-guard.js y agregar pruebas de acceso no autorizado</t>
  </si>
  <si>
    <t>R9</t>
  </si>
  <si>
    <t>Picos de tráfico no probados en checkout</t>
  </si>
  <si>
    <t>Operacional</t>
  </si>
  <si>
    <t>Pruebas de carga limitadas a bajo volumen</t>
  </si>
  <si>
    <t>Degradación del sitio en alta demanda</t>
  </si>
  <si>
    <t>No hay datos de comportamiento del backend bajo tráfico real</t>
  </si>
  <si>
    <t>Planificar pruebas de carga incrementales en staging</t>
  </si>
  <si>
    <t>R10</t>
  </si>
  <si>
    <t>Documentación técnica desactualizada</t>
  </si>
  <si>
    <t>Organizacional</t>
  </si>
  <si>
    <t>Cambios de código no reflejados en la documentación</t>
  </si>
  <si>
    <t>Dificultad de mantenimiento y onboarding</t>
  </si>
  <si>
    <t>La documentación no sigue el ritmo de los cambios del proyecto</t>
  </si>
  <si>
    <t>Francisca Guzmán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</si>
  <si>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</si>
  <si>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t>Actualizar la documentación como parte del checklist de cada release</t>
  </si>
  <si>
    <t>R11</t>
  </si>
  <si>
    <t>Fallo en notificaciones por WhatsApp</t>
  </si>
  <si>
    <t>Configuración incompleta o caída de Twilio</t>
  </si>
  <si>
    <t>Clientes sin confirmación de pedido</t>
  </si>
  <si>
    <t>Twilio queda deshabilitado si faltan credenciales o el servicio falla</t>
  </si>
  <si>
    <t>Monitorear isEnabled() en whatsapp.js y definir un canal de respaldo por email</t>
  </si>
  <si>
    <t>R12</t>
  </si>
  <si>
    <t>Fallo en el envío de correos transaccionales</t>
  </si>
  <si>
    <t>Configuración SMTP incompleta o proveedor caído</t>
  </si>
  <si>
    <t>Clientes sin comprobante de compra o recuperación de contraseña</t>
  </si>
  <si>
    <t>El servicio de email se deshabilita si faltan variables de entorno SMTP</t>
  </si>
  <si>
    <t>Agregar reintentos y alertas cuando isEnabled() retorne falso en producción</t>
  </si>
  <si>
    <t>R13</t>
  </si>
  <si>
    <t>Datos de productos inconsistentes</t>
  </si>
  <si>
    <t>Edición manual o migraciones incompletas de products.json</t>
  </si>
  <si>
    <t>Precios o stock incorrectos mostrados a clientes</t>
  </si>
  <si>
    <t>migrate-products-active.js puede dejar productos con estado activo desactualizado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</si>
  <si>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</si>
  <si>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t>Probar el script de migración antes de ejecutarlo en producción y respaldar el archivo JSON</t>
  </si>
  <si>
    <t>R14</t>
  </si>
  <si>
    <t>Falta de límite de solicitudes en la API</t>
  </si>
  <si>
    <t>Ausencia de rate limiting en rutas públicas del backend</t>
  </si>
  <si>
    <t>Saturación del servidor y sobrecostos de infraestructura</t>
  </si>
  <si>
    <t>Un cliente malicioso podría saturar endpoints como /health o rutas de pago</t>
  </si>
  <si>
    <t>Incorporar middleware de rate limiting y reforzar require-api-key.js en rutas sensibles</t>
  </si>
  <si>
    <t>R15</t>
  </si>
  <si>
    <t>Incompatibilidad entre navegadores del frontend</t>
  </si>
  <si>
    <t>Uso de JavaScript sin frameworks ni transpilación</t>
  </si>
  <si>
    <t>Errores de visualización o funcionalidad en navegadores antiguos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</si>
  <si>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Cliente </t>
    </r>
  </si>
  <si>
    <t>El código en js/pages y js/ui puede depender de APIs no soportadas universalmente</t>
  </si>
  <si>
    <t>Probar en los navegadores objetivo definidos por el negocio y documentar el soporte mínimo</t>
  </si>
  <si>
    <t>R16</t>
  </si>
  <si>
    <t>Rotación de personal clave del proyecto</t>
  </si>
  <si>
    <t>Equipo de desarrollo reducido</t>
  </si>
  <si>
    <t>Pérdida de conocimiento técnico del sistema</t>
  </si>
  <si>
    <t>La salida de un desarrollador clave puede retrasar el mantenimiento del backend o del panel admin</t>
  </si>
  <si>
    <t>Asesores de Imagen Limitada</t>
  </si>
  <si>
    <t>Mantener documentación técnica actualizada y fomentar el conocimiento compartido del código</t>
  </si>
  <si>
    <t>R17</t>
  </si>
  <si>
    <t>Dependencia total de Firebase como proveedor único</t>
  </si>
  <si>
    <t>Toda la infraestructura de datos y hosting está en Firebase</t>
  </si>
  <si>
    <t>Indisponibilidad total del sitio ante una falla del proveedor</t>
  </si>
  <si>
    <t>Una interrupción de Firebase afectaría hosting, autenticación y base de datos a la vez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</si>
  <si>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Área:</t>
    </r>
  </si>
  <si>
    <t>Monitorear el estado de Firebase y definir un plan de comunicación a clientes ante caídas</t>
  </si>
  <si>
    <t>R18</t>
  </si>
  <si>
    <t>Pérdida de imágenes o archivos en Storage</t>
  </si>
  <si>
    <t>Eliminación accidental o mal manejo de Firebase Storage</t>
  </si>
  <si>
    <t>Productos sin imágenes o resultados de análisis perdidos</t>
  </si>
  <si>
    <t>Área de servicios de belleza y cuidado personal</t>
  </si>
  <si>
    <t>Falta de respaldo automático de las imágenes almacenadas</t>
  </si>
  <si>
    <t>Configurar reglas de retención y respaldos periódicos del bucket de storage</t>
  </si>
  <si>
    <t>REFERENCIAS del PLAN DE GESTIÓN DE RIESGOS</t>
  </si>
  <si>
    <t>Nivel de Probabilidad</t>
  </si>
  <si>
    <t>Valores Probabilidad</t>
  </si>
  <si>
    <t>Comentario</t>
  </si>
  <si>
    <t>Podría ocurrir</t>
  </si>
  <si>
    <t>Es bastante probable</t>
  </si>
  <si>
    <t>Es casi seguro</t>
  </si>
  <si>
    <t>Nivel Impacto</t>
  </si>
  <si>
    <t>Valores de Impacto</t>
  </si>
  <si>
    <t xml:space="preserve">hasta un 30% </t>
  </si>
  <si>
    <t>entre 31% y 50%</t>
  </si>
  <si>
    <t>sobre  51%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</si>
</sst>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"/>
    <numFmt numFmtId="165" formatCode="d/m"/>
    <numFmt numFmtId="166" formatCode="dd/mm/yyyy"/>
  </numFmts>
  <fonts count="15">
    <font>
      <sz val="11.0"/>
      <color theme="1"/>
      <name val="Calibri"/>
      <scheme val="minor"/>
    </font>
    <font>
      <color theme="1"/>
      <name val="Calibri"/>
      <scheme val="minor"/>
    </font>
    <font/>
    <font>
      <sz val="11.0"/>
      <color theme="1"/>
      <name val="Calibri"/>
    </font>
    <font>
      <b/>
      <sz val="10.0"/>
      <color rgb="FFFFFFFF"/>
      <name val="Calibri"/>
    </font>
    <font>
      <b/>
      <sz val="18.0"/>
      <color theme="1"/>
      <name val="Calibri"/>
    </font>
    <font>
      <b/>
      <sz val="19.0"/>
      <color theme="1"/>
      <name val="Calibri"/>
      <scheme val="minor"/>
    </font>
    <font>
      <sz val="9.0"/>
      <color theme="1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Century Gothic"/>
    </font>
    <font>
      <b/>
      <sz val="10.0"/>
      <color rgb="FF000000"/>
      <name val="Calibri"/>
    </font>
    <font>
      <b/>
      <color theme="1"/>
      <name val="Century Gothic"/>
    </font>
    <font>
      <b/>
      <color theme="1"/>
      <name val="Arial"/>
    </font>
    <font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F5538"/>
        <bgColor rgb="FF2F553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8000"/>
        <bgColor rgb="FF008000"/>
      </patternFill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bottom/>
    </border>
    <border>
      <left/>
      <right/>
      <top/>
    </border>
    <border>
      <lef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left/>
    </border>
    <border>
      <left/>
      <bottom/>
    </border>
    <border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bottom/>
    </border>
    <border>
      <left/>
      <right/>
    </border>
    <border>
      <left/>
      <right style="medium">
        <color rgb="FF000000"/>
      </right>
      <bottom/>
    </border>
    <border>
      <left style="medium">
        <color rgb="FF000000"/>
      </left>
      <righ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0" fillId="0" fontId="3" numFmtId="0" xfId="0" applyAlignment="1" applyFont="1">
      <alignment horizontal="left" vertical="center"/>
    </xf>
    <xf borderId="3" fillId="0" fontId="2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6" numFmtId="0" xfId="0" applyAlignment="1" applyFont="1">
      <alignment horizontal="center" readingOrder="0" vertical="center"/>
    </xf>
    <xf borderId="11" fillId="0" fontId="7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Border="1" applyFont="1"/>
    <xf borderId="0" fillId="0" fontId="3" numFmtId="0" xfId="0" applyFont="1"/>
    <xf borderId="13" fillId="0" fontId="2" numFmtId="0" xfId="0" applyBorder="1" applyFont="1"/>
    <xf borderId="11" fillId="0" fontId="7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1" fillId="0" fontId="7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16" fillId="3" fontId="8" numFmtId="0" xfId="0" applyBorder="1" applyFill="1" applyFont="1"/>
    <xf borderId="11" fillId="4" fontId="4" numFmtId="0" xfId="0" applyAlignment="1" applyBorder="1" applyFill="1" applyFont="1">
      <alignment horizontal="center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borderId="4" fillId="3" fontId="8" numFmtId="0" xfId="0" applyBorder="1" applyFill="1" applyFont="1"/>
    <xf borderId="17" fillId="3" fontId="8" numFmtId="0" xfId="0" applyBorder="1" applyFill="1" applyFont="1"/>
    <xf borderId="18" fillId="3" fontId="8" numFmtId="0" xfId="0" applyBorder="1" applyFill="1" applyFont="1"/>
    <xf borderId="11" fillId="0" fontId="7" numFmtId="165" xfId="0" applyAlignment="1" applyBorder="1" applyFont="1" applyNumberFormat="1">
      <alignment horizontal="center" readingOrder="0" shrinkToFit="0" vertical="center" wrapText="1"/>
    </xf>
    <xf borderId="19" fillId="5" fontId="9" numFmtId="0" xfId="0" applyAlignment="1" applyBorder="1" applyFill="1" applyFont="1">
      <alignment vertical="bottom"/>
    </xf>
    <xf borderId="20" fillId="0" fontId="2" numFmtId="0" xfId="0" applyBorder="1" applyFont="1"/>
    <xf borderId="21" fillId="0" fontId="2" numFmtId="0" xfId="0" applyBorder="1" applyFont="1"/>
    <xf borderId="22" fillId="6" fontId="8" numFmtId="0" xfId="0" applyAlignment="1" applyBorder="1" applyFill="1" applyFont="1">
      <alignment vertical="center"/>
    </xf>
    <xf borderId="23" fillId="0" fontId="2" numFmtId="0" xfId="0" applyBorder="1" applyFont="1"/>
    <xf borderId="24" fillId="0" fontId="2" numFmtId="0" xfId="0" applyBorder="1" applyFont="1"/>
    <xf borderId="11" fillId="7" fontId="4" numFmtId="0" xfId="0" applyAlignment="1" applyBorder="1" applyFill="1" applyFont="1">
      <alignment horizontal="center" shrinkToFit="0" vertical="center" wrapText="1"/>
    </xf>
    <xf borderId="25" fillId="3" fontId="10" numFmtId="0" xfId="0" applyAlignment="1" applyBorder="1" applyFill="1" applyFont="1">
      <alignment horizontal="center" shrinkToFit="0" wrapText="1"/>
    </xf>
    <xf borderId="25" fillId="3" fontId="10" numFmtId="0" xfId="0" applyAlignment="1" applyBorder="1" applyFill="1" applyFont="1">
      <alignment horizontal="center" readingOrder="0" shrinkToFit="0" wrapText="1"/>
    </xf>
    <xf borderId="26" fillId="6" fontId="8" numFmtId="0" xfId="0" applyAlignment="1" applyBorder="1" applyFill="1" applyFont="1">
      <alignment vertical="center"/>
    </xf>
    <xf borderId="27" fillId="6" fontId="8" numFmtId="0" xfId="0" applyAlignment="1" applyBorder="1" applyFill="1" applyFont="1">
      <alignment vertical="center"/>
    </xf>
    <xf borderId="28" fillId="6" fontId="8" numFmtId="0" xfId="0" applyAlignment="1" applyBorder="1" applyFill="1" applyFont="1">
      <alignment vertical="center"/>
    </xf>
    <xf borderId="11" fillId="8" fontId="11" numFmtId="0" xfId="0" applyAlignment="1" applyBorder="1" applyFill="1" applyFont="1">
      <alignment horizontal="center" shrinkToFit="0" vertical="center" wrapText="1"/>
    </xf>
    <xf borderId="25" fillId="3" fontId="8" numFmtId="0" xfId="0" applyBorder="1" applyFill="1" applyFont="1"/>
    <xf borderId="25" fillId="3" fontId="10" numFmtId="166" xfId="0" applyAlignment="1" applyBorder="1" applyFill="1" applyFont="1" applyNumberFormat="1">
      <alignment horizontal="center" readingOrder="0" shrinkToFit="0" wrapText="1"/>
    </xf>
    <xf borderId="25" fillId="6" fontId="8" numFmtId="0" xfId="0" applyAlignment="1" applyBorder="1" applyFill="1" applyFont="1">
      <alignment vertical="center"/>
    </xf>
    <xf borderId="25" fillId="3" fontId="10" numFmtId="0" xfId="0" applyAlignment="1" applyBorder="1" applyFill="1" applyFont="1">
      <alignment readingOrder="0" shrinkToFit="0" vertical="center" wrapText="1"/>
    </xf>
    <xf borderId="11" fillId="6" fontId="8" numFmtId="0" xfId="0" applyAlignment="1" applyBorder="1" applyFill="1" applyFont="1">
      <alignment horizontal="right" vertical="center"/>
    </xf>
    <xf borderId="11" fillId="3" fontId="10" numFmtId="0" xfId="0" applyAlignment="1" applyBorder="1" applyFill="1" applyFont="1">
      <alignment readingOrder="0" shrinkToFit="0" wrapText="1"/>
    </xf>
    <xf borderId="29" fillId="3" fontId="8" numFmtId="0" xfId="0" applyBorder="1" applyFill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5" fontId="12" numFmtId="0" xfId="0" applyAlignment="1" applyBorder="1" applyFill="1" applyFont="1">
      <alignment horizontal="center" shrinkToFit="0" wrapText="1"/>
    </xf>
    <xf borderId="35" fillId="0" fontId="2" numFmtId="0" xfId="0" applyBorder="1" applyFont="1"/>
    <xf borderId="36" fillId="0" fontId="2" numFmtId="0" xfId="0" applyBorder="1" applyFont="1"/>
    <xf borderId="37" fillId="3" fontId="8" numFmtId="0" xfId="0" applyBorder="1" applyFill="1" applyFont="1"/>
    <xf borderId="38" fillId="3" fontId="8" numFmtId="0" xfId="0" applyBorder="1" applyFill="1" applyFont="1"/>
    <xf borderId="39" fillId="3" fontId="8" numFmtId="0" xfId="0" applyBorder="1" applyFill="1" applyFont="1"/>
    <xf borderId="40" fillId="3" fontId="8" numFmtId="0" xfId="0" applyBorder="1" applyFill="1" applyFont="1"/>
    <xf borderId="25" fillId="6" fontId="13" numFmtId="0" xfId="0" applyAlignment="1" applyBorder="1" applyFill="1" applyFont="1">
      <alignment horizontal="center" shrinkToFit="0" wrapText="1"/>
    </xf>
    <xf borderId="41" fillId="3" fontId="8" numFmtId="0" xfId="0" applyBorder="1" applyFill="1" applyFont="1"/>
    <xf borderId="11" fillId="6" fontId="13" numFmtId="0" xfId="0" applyAlignment="1" applyBorder="1" applyFill="1" applyFont="1">
      <alignment horizontal="center" shrinkToFit="0" wrapText="1"/>
    </xf>
    <xf borderId="42" fillId="6" fontId="13" numFmtId="0" xfId="0" applyAlignment="1" applyBorder="1" applyFill="1" applyFont="1">
      <alignment horizontal="center" shrinkToFit="0" wrapText="1"/>
    </xf>
    <xf borderId="11" fillId="6" fontId="8" numFmtId="0" xfId="0" applyAlignment="1" applyBorder="1" applyFill="1" applyFont="1">
      <alignment horizontal="center" shrinkToFit="0" wrapText="1"/>
    </xf>
    <xf borderId="11" fillId="9" fontId="14" numFmtId="0" xfId="0" applyAlignment="1" applyBorder="1" applyFill="1" applyFont="1">
      <alignment horizontal="center" shrinkToFit="0" wrapText="1"/>
    </xf>
    <xf borderId="43" fillId="9" fontId="14" numFmtId="0" xfId="0" applyAlignment="1" applyBorder="1" applyFill="1" applyFont="1">
      <alignment shrinkToFit="0" wrapText="1"/>
    </xf>
    <xf borderId="11" fillId="8" fontId="8" numFmtId="0" xfId="0" applyAlignment="1" applyBorder="1" applyFill="1" applyFont="1">
      <alignment horizontal="center" shrinkToFit="0" wrapText="1"/>
    </xf>
    <xf borderId="42" fillId="8" fontId="8" numFmtId="0" xfId="0" applyAlignment="1" applyBorder="1" applyFill="1" applyFont="1">
      <alignment horizontal="center" shrinkToFit="0" wrapText="1"/>
    </xf>
    <xf borderId="43" fillId="8" fontId="8" numFmtId="0" xfId="0" applyAlignment="1" applyBorder="1" applyFill="1" applyFont="1">
      <alignment shrinkToFit="0" wrapText="1"/>
    </xf>
    <xf borderId="44" fillId="3" fontId="8" numFmtId="0" xfId="0" applyBorder="1" applyFill="1" applyFont="1"/>
    <xf borderId="45" fillId="6" fontId="13" numFmtId="0" xfId="0" applyAlignment="1" applyBorder="1" applyFill="1" applyFont="1">
      <alignment horizontal="center" shrinkToFit="0" textRotation="90" wrapText="1"/>
    </xf>
    <xf borderId="11" fillId="4" fontId="14" numFmtId="0" xfId="0" applyAlignment="1" applyBorder="1" applyFill="1" applyFont="1">
      <alignment horizontal="center" shrinkToFit="0" wrapText="1"/>
    </xf>
    <xf borderId="42" fillId="4" fontId="14" numFmtId="0" xfId="0" applyAlignment="1" applyBorder="1" applyFill="1" applyFont="1">
      <alignment horizontal="center" shrinkToFit="0" wrapText="1"/>
    </xf>
    <xf borderId="43" fillId="4" fontId="14" numFmtId="0" xfId="0" applyAlignment="1" applyBorder="1" applyFill="1" applyFont="1">
      <alignment shrinkToFit="0" wrapText="1"/>
    </xf>
    <xf borderId="46" fillId="0" fontId="2" numFmtId="0" xfId="0" applyBorder="1" applyFont="1"/>
    <xf borderId="47" fillId="3" fontId="8" numFmtId="0" xfId="0" applyBorder="1" applyFill="1" applyFont="1"/>
    <xf borderId="48" fillId="0" fontId="2" numFmtId="0" xfId="0" applyBorder="1" applyFont="1"/>
    <xf borderId="43" fillId="6" fontId="13" numFmtId="0" xfId="0" applyAlignment="1" applyBorder="1" applyFill="1" applyFont="1">
      <alignment horizontal="center" shrinkToFit="0" wrapText="1"/>
    </xf>
    <xf borderId="43" fillId="9" fontId="14" numFmtId="0" xfId="0" applyAlignment="1" applyBorder="1" applyFill="1" applyFont="1">
      <alignment shrinkToFit="0" vertical="top" wrapText="1"/>
    </xf>
    <xf borderId="43" fillId="8" fontId="8" numFmtId="0" xfId="0" applyAlignment="1" applyBorder="1" applyFill="1" applyFont="1">
      <alignment shrinkToFit="0" vertical="top" wrapText="1"/>
    </xf>
    <xf borderId="43" fillId="4" fontId="1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5.57"/>
    <col customWidth="1" min="12" max="26" width="10.71"/>
  </cols>
  <sheetData>
    <row r="1" ht="14.25" customHeight="1">
      <c r="A1" s="1"/>
      <c r="B1" s="2"/>
      <c r="C1" s="2"/>
      <c r="D1" s="2"/>
      <c r="E1" s="2"/>
      <c r="F1" s="4"/>
      <c r="G1" s="6" t="s">
        <v>4</v>
      </c>
      <c r="H1" s="7"/>
      <c r="I1" s="7"/>
      <c r="J1" s="7"/>
      <c r="K1" s="8"/>
    </row>
    <row r="2" ht="14.25" customHeight="1">
      <c r="A2" s="9"/>
      <c r="F2" s="10"/>
      <c r="G2" s="9"/>
      <c r="K2" s="11"/>
      <c r="L2" s="12"/>
    </row>
    <row r="3" ht="14.25" customHeight="1">
      <c r="A3" s="9"/>
      <c r="F3" s="10"/>
      <c r="G3" s="9"/>
      <c r="K3" s="11"/>
      <c r="L3" s="12"/>
    </row>
    <row r="4" ht="14.25" customHeight="1">
      <c r="A4" s="14"/>
      <c r="B4" s="16"/>
      <c r="C4" s="16"/>
      <c r="D4" s="16"/>
      <c r="E4" s="16"/>
      <c r="F4" s="18"/>
      <c r="G4" s="14"/>
      <c r="H4" s="16"/>
      <c r="I4" s="16"/>
      <c r="J4" s="16"/>
      <c r="K4" s="20"/>
      <c r="L4" s="12"/>
    </row>
    <row r="5" ht="14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12"/>
    </row>
    <row r="6" ht="14.25" customHeight="1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ht="14.25" customHeight="1">
      <c r="A7" s="26"/>
      <c r="B7" s="28" t="s">
        <v>61</v>
      </c>
      <c r="C7" s="29"/>
      <c r="D7" s="29"/>
      <c r="E7" s="29"/>
      <c r="F7" s="29"/>
      <c r="G7" s="29"/>
      <c r="H7" s="29"/>
      <c r="I7" s="29"/>
      <c r="J7" s="29"/>
      <c r="K7" s="30"/>
    </row>
    <row r="8" ht="14.25" customHeight="1">
      <c r="A8" s="26"/>
      <c r="B8" s="31" t="s">
        <v>81</v>
      </c>
      <c r="C8" s="32"/>
      <c r="D8" s="32"/>
      <c r="E8" s="33"/>
      <c r="F8" s="35">
        <v>1.0</v>
      </c>
      <c r="G8" s="32"/>
      <c r="H8" s="32"/>
      <c r="I8" s="32"/>
      <c r="J8" s="32"/>
      <c r="K8" s="33"/>
    </row>
    <row r="9" ht="14.25" customHeight="1">
      <c r="A9" s="26"/>
      <c r="B9" s="31" t="s">
        <v>84</v>
      </c>
      <c r="C9" s="32"/>
      <c r="D9" s="32"/>
      <c r="E9" s="33"/>
      <c r="F9" s="36" t="s">
        <v>85</v>
      </c>
      <c r="G9" s="32"/>
      <c r="H9" s="32"/>
      <c r="I9" s="32"/>
      <c r="J9" s="32"/>
      <c r="K9" s="33"/>
    </row>
    <row r="10" ht="14.25" customHeight="1">
      <c r="A10" s="24"/>
      <c r="B10" s="37" t="s">
        <v>96</v>
      </c>
      <c r="C10" s="38"/>
      <c r="D10" s="38"/>
      <c r="E10" s="39"/>
      <c r="F10" s="41"/>
      <c r="G10" s="32"/>
      <c r="H10" s="32"/>
      <c r="I10" s="32"/>
      <c r="J10" s="32"/>
      <c r="K10" s="33"/>
    </row>
    <row r="11" ht="14.25" customHeight="1">
      <c r="A11" s="26"/>
      <c r="B11" s="31" t="s">
        <v>114</v>
      </c>
      <c r="C11" s="32"/>
      <c r="D11" s="32"/>
      <c r="E11" s="33"/>
      <c r="F11" s="42">
        <v>46265.0</v>
      </c>
      <c r="G11" s="32"/>
      <c r="H11" s="32"/>
      <c r="I11" s="32"/>
      <c r="J11" s="32"/>
      <c r="K11" s="33"/>
    </row>
    <row r="12" ht="14.25" customHeight="1">
      <c r="A12" s="26"/>
      <c r="B12" s="31" t="s">
        <v>133</v>
      </c>
      <c r="C12" s="32"/>
      <c r="D12" s="32"/>
      <c r="E12" s="33"/>
      <c r="F12" s="42">
        <v>46346.0</v>
      </c>
      <c r="G12" s="32"/>
      <c r="H12" s="32"/>
      <c r="I12" s="32"/>
      <c r="J12" s="32"/>
      <c r="K12" s="33"/>
    </row>
    <row r="13" ht="14.25" customHeight="1">
      <c r="A13" s="26"/>
      <c r="B13" s="43" t="s">
        <v>145</v>
      </c>
      <c r="C13" s="32"/>
      <c r="D13" s="32"/>
      <c r="E13" s="33"/>
      <c r="F13" s="44" t="s">
        <v>153</v>
      </c>
      <c r="G13" s="32"/>
      <c r="H13" s="32"/>
      <c r="I13" s="33"/>
      <c r="J13" s="45" t="s">
        <v>160</v>
      </c>
      <c r="K13" s="46" t="s">
        <v>166</v>
      </c>
    </row>
    <row r="14" ht="14.25" customHeight="1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</row>
    <row r="15" ht="14.25" customHeight="1">
      <c r="A15" s="49"/>
    </row>
    <row r="16" ht="14.25" customHeight="1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</row>
    <row r="17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ht="14.25" customHeight="1">
      <c r="A18" s="52" t="s">
        <v>169</v>
      </c>
      <c r="B18" s="53"/>
      <c r="C18" s="53"/>
      <c r="D18" s="53"/>
      <c r="E18" s="53"/>
      <c r="F18" s="53"/>
      <c r="G18" s="53"/>
      <c r="H18" s="53"/>
      <c r="I18" s="53"/>
      <c r="J18" s="53"/>
      <c r="K18" s="54"/>
    </row>
    <row r="19" ht="14.25" customHeight="1">
      <c r="A19" s="55"/>
      <c r="B19" s="21"/>
      <c r="C19" s="21"/>
      <c r="D19" s="21"/>
      <c r="E19" s="56"/>
      <c r="F19" s="56"/>
      <c r="G19" s="56"/>
      <c r="H19" s="21"/>
      <c r="I19" s="21"/>
      <c r="J19" s="21"/>
      <c r="K19" s="57"/>
    </row>
    <row r="20" ht="14.25" customHeight="1">
      <c r="A20" s="58"/>
      <c r="B20" s="24"/>
      <c r="C20" s="24"/>
      <c r="D20" s="26"/>
      <c r="E20" s="59" t="s">
        <v>22</v>
      </c>
      <c r="F20" s="32"/>
      <c r="G20" s="33"/>
      <c r="H20" s="60"/>
      <c r="I20" s="61" t="s">
        <v>170</v>
      </c>
      <c r="J20" s="62" t="s">
        <v>171</v>
      </c>
      <c r="K20" s="61" t="s">
        <v>172</v>
      </c>
    </row>
    <row r="21" ht="14.25" customHeight="1">
      <c r="A21" s="58"/>
      <c r="B21" s="24"/>
      <c r="C21" s="24"/>
      <c r="D21" s="24"/>
      <c r="E21" s="63" t="s">
        <v>90</v>
      </c>
      <c r="F21" s="63" t="s">
        <v>67</v>
      </c>
      <c r="G21" s="63" t="s">
        <v>41</v>
      </c>
      <c r="H21" s="24"/>
      <c r="I21" s="64" t="s">
        <v>80</v>
      </c>
      <c r="J21" s="64">
        <v>1.0</v>
      </c>
      <c r="K21" s="65" t="s">
        <v>173</v>
      </c>
    </row>
    <row r="22" ht="14.25" customHeight="1">
      <c r="A22" s="58"/>
      <c r="B22" s="25"/>
      <c r="C22" s="24"/>
      <c r="D22" s="24"/>
      <c r="E22" s="63">
        <v>1.0</v>
      </c>
      <c r="F22" s="63">
        <v>2.0</v>
      </c>
      <c r="G22" s="63">
        <v>3.0</v>
      </c>
      <c r="H22" s="24"/>
      <c r="I22" s="66" t="s">
        <v>51</v>
      </c>
      <c r="J22" s="67">
        <v>2.0</v>
      </c>
      <c r="K22" s="68" t="s">
        <v>174</v>
      </c>
    </row>
    <row r="23" ht="14.25" customHeight="1">
      <c r="A23" s="69"/>
      <c r="B23" s="70" t="s">
        <v>20</v>
      </c>
      <c r="C23" s="63" t="s">
        <v>80</v>
      </c>
      <c r="D23" s="63">
        <v>1.0</v>
      </c>
      <c r="E23" s="64">
        <f>D23*E22</f>
        <v>1</v>
      </c>
      <c r="F23" s="64">
        <f>D23*F22</f>
        <v>2</v>
      </c>
      <c r="G23" s="66">
        <f>D23*G22</f>
        <v>3</v>
      </c>
      <c r="H23" s="24"/>
      <c r="I23" s="71" t="s">
        <v>40</v>
      </c>
      <c r="J23" s="72">
        <v>3.0</v>
      </c>
      <c r="K23" s="73" t="s">
        <v>175</v>
      </c>
    </row>
    <row r="24" ht="14.25" customHeight="1">
      <c r="A24" s="69"/>
      <c r="B24" s="74"/>
      <c r="C24" s="63" t="s">
        <v>51</v>
      </c>
      <c r="D24" s="63">
        <v>2.0</v>
      </c>
      <c r="E24" s="64">
        <f>D24*E22</f>
        <v>2</v>
      </c>
      <c r="F24" s="66">
        <f>D24*F22</f>
        <v>4</v>
      </c>
      <c r="G24" s="71">
        <f>D24*G22</f>
        <v>6</v>
      </c>
      <c r="H24" s="24"/>
      <c r="I24" s="24"/>
      <c r="J24" s="24"/>
      <c r="K24" s="75"/>
    </row>
    <row r="25" ht="14.25" customHeight="1">
      <c r="A25" s="69"/>
      <c r="B25" s="76"/>
      <c r="C25" s="63" t="s">
        <v>40</v>
      </c>
      <c r="D25" s="63">
        <v>3.0</v>
      </c>
      <c r="E25" s="66">
        <f>D25*E22</f>
        <v>3</v>
      </c>
      <c r="F25" s="71">
        <f>D25*F22</f>
        <v>6</v>
      </c>
      <c r="G25" s="71">
        <f>D25*G22</f>
        <v>9</v>
      </c>
      <c r="H25" s="24"/>
      <c r="I25" s="61" t="s">
        <v>176</v>
      </c>
      <c r="J25" s="62" t="s">
        <v>177</v>
      </c>
      <c r="K25" s="77" t="s">
        <v>172</v>
      </c>
    </row>
    <row r="26" ht="14.25" customHeight="1">
      <c r="A26" s="58"/>
      <c r="B26" s="21"/>
      <c r="C26" s="24"/>
      <c r="D26" s="24"/>
      <c r="E26" s="24"/>
      <c r="F26" s="24"/>
      <c r="G26" s="24"/>
      <c r="H26" s="24"/>
      <c r="I26" s="64" t="s">
        <v>90</v>
      </c>
      <c r="J26" s="64">
        <v>1.0</v>
      </c>
      <c r="K26" s="78" t="s">
        <v>178</v>
      </c>
    </row>
    <row r="27" ht="14.25" customHeight="1">
      <c r="A27" s="58"/>
      <c r="B27" s="24"/>
      <c r="C27" s="24"/>
      <c r="D27" s="24"/>
      <c r="E27" s="24"/>
      <c r="F27" s="24"/>
      <c r="G27" s="24"/>
      <c r="H27" s="24"/>
      <c r="I27" s="66" t="s">
        <v>67</v>
      </c>
      <c r="J27" s="67">
        <v>2.0</v>
      </c>
      <c r="K27" s="79" t="s">
        <v>179</v>
      </c>
    </row>
    <row r="28" ht="14.25" customHeight="1">
      <c r="A28" s="58"/>
      <c r="B28" s="24"/>
      <c r="C28" s="24"/>
      <c r="D28" s="24"/>
      <c r="E28" s="24"/>
      <c r="F28" s="24"/>
      <c r="G28" s="24"/>
      <c r="H28" s="24"/>
      <c r="I28" s="71" t="s">
        <v>41</v>
      </c>
      <c r="J28" s="72">
        <v>3.0</v>
      </c>
      <c r="K28" s="80" t="s">
        <v>180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8">
    <mergeCell ref="B9:E9"/>
    <mergeCell ref="B11:E11"/>
    <mergeCell ref="B12:E12"/>
    <mergeCell ref="B13:E13"/>
    <mergeCell ref="B23:B25"/>
    <mergeCell ref="F11:K11"/>
    <mergeCell ref="F12:K12"/>
    <mergeCell ref="F13:I13"/>
    <mergeCell ref="A14:K16"/>
    <mergeCell ref="A18:K18"/>
    <mergeCell ref="E20:G20"/>
    <mergeCell ref="A1:F4"/>
    <mergeCell ref="G1:K4"/>
    <mergeCell ref="B7:K7"/>
    <mergeCell ref="B8:E8"/>
    <mergeCell ref="F8:K8"/>
    <mergeCell ref="F9:K9"/>
    <mergeCell ref="F10:K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29"/>
    <col customWidth="1" min="2" max="26" width="10.71"/>
  </cols>
  <sheetData>
    <row r="1" ht="14.25" customHeight="1">
      <c r="A1" s="3" t="s">
        <v>0</v>
      </c>
    </row>
    <row r="2" ht="14.25" customHeight="1">
      <c r="A2" s="3" t="s">
        <v>1</v>
      </c>
    </row>
    <row r="3" ht="14.25" customHeight="1">
      <c r="A3" s="3" t="s">
        <v>3</v>
      </c>
    </row>
    <row r="4" ht="14.25" customHeight="1">
      <c r="A4" s="3" t="s">
        <v>5</v>
      </c>
    </row>
    <row r="5" ht="14.25" customHeight="1">
      <c r="A5" s="3" t="s">
        <v>6</v>
      </c>
    </row>
    <row r="6" ht="14.25" customHeight="1">
      <c r="A6" s="3" t="s">
        <v>7</v>
      </c>
    </row>
    <row r="7" ht="14.25" customHeight="1">
      <c r="A7" s="3" t="s">
        <v>8</v>
      </c>
    </row>
    <row r="8" ht="14.25" customHeight="1">
      <c r="A8" s="3" t="s">
        <v>9</v>
      </c>
    </row>
    <row r="9" ht="14.25" customHeight="1">
      <c r="A9" s="3" t="s">
        <v>10</v>
      </c>
    </row>
    <row r="10" ht="14.25" customHeight="1">
      <c r="A10" s="3" t="s">
        <v>12</v>
      </c>
    </row>
    <row r="11" ht="14.25" customHeight="1">
      <c r="A11" s="3" t="s">
        <v>15</v>
      </c>
    </row>
    <row r="12" ht="14.25" customHeight="1">
      <c r="A12" s="3" t="s">
        <v>18</v>
      </c>
    </row>
    <row r="13" ht="14.25" customHeight="1">
      <c r="A13" s="3" t="s">
        <v>23</v>
      </c>
    </row>
    <row r="14" ht="14.25" customHeight="1">
      <c r="A14" s="3" t="s">
        <v>26</v>
      </c>
    </row>
    <row r="15" ht="14.25" customHeight="1">
      <c r="A15" s="3" t="s">
        <v>30</v>
      </c>
    </row>
    <row r="16" ht="14.25" customHeight="1">
      <c r="A16" s="3" t="s">
        <v>31</v>
      </c>
    </row>
    <row r="17" ht="14.25" customHeight="1">
      <c r="A17" s="3" t="s">
        <v>32</v>
      </c>
    </row>
    <row r="18" ht="14.25" customHeight="1">
      <c r="A18" s="3" t="s">
        <v>33</v>
      </c>
    </row>
    <row r="19" ht="14.25" customHeight="1">
      <c r="A19" s="1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16.0"/>
    <col customWidth="1" min="5" max="5" width="35.0"/>
    <col customWidth="1" min="6" max="6" width="28.0"/>
    <col customWidth="1" min="7" max="7" width="42.0"/>
    <col customWidth="1" min="8" max="9" width="14.0"/>
    <col customWidth="1" min="10" max="10" width="12.0"/>
    <col customWidth="1" min="11" max="11" width="14.0"/>
    <col customWidth="1" min="12" max="12" width="12.0"/>
    <col customWidth="1" min="13" max="13" width="22.0"/>
    <col customWidth="1" min="14" max="14" width="14.0"/>
    <col customWidth="1" min="15" max="15" width="45.0"/>
    <col customWidth="1" min="16" max="26" width="8.86"/>
  </cols>
  <sheetData>
    <row r="1" ht="27.75" customHeight="1">
      <c r="A1" s="5" t="s">
        <v>2</v>
      </c>
      <c r="B1" s="5" t="s">
        <v>11</v>
      </c>
      <c r="C1" s="5" t="s">
        <v>13</v>
      </c>
      <c r="D1" s="5" t="s">
        <v>14</v>
      </c>
      <c r="E1" s="5" t="s">
        <v>16</v>
      </c>
      <c r="F1" s="5" t="s">
        <v>17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24</v>
      </c>
      <c r="L1" s="5" t="s">
        <v>25</v>
      </c>
      <c r="M1" s="5" t="s">
        <v>27</v>
      </c>
      <c r="N1" s="5" t="s">
        <v>28</v>
      </c>
      <c r="O1" s="5" t="s">
        <v>29</v>
      </c>
    </row>
    <row r="2" ht="31.5" customHeight="1">
      <c r="A2" s="13">
        <v>46265.0</v>
      </c>
      <c r="B2" s="17" t="s">
        <v>34</v>
      </c>
      <c r="C2" s="19" t="s">
        <v>35</v>
      </c>
      <c r="D2" s="19" t="s">
        <v>36</v>
      </c>
      <c r="E2" s="19" t="s">
        <v>37</v>
      </c>
      <c r="F2" s="19" t="s">
        <v>38</v>
      </c>
      <c r="G2" s="19" t="s">
        <v>39</v>
      </c>
      <c r="H2" s="17" t="s">
        <v>40</v>
      </c>
      <c r="I2" s="17">
        <v>3.0</v>
      </c>
      <c r="J2" s="17" t="s">
        <v>41</v>
      </c>
      <c r="K2" s="17">
        <v>3.0</v>
      </c>
      <c r="L2" s="22">
        <v>9.0</v>
      </c>
      <c r="M2" s="23" t="s">
        <v>42</v>
      </c>
      <c r="N2" s="19" t="s">
        <v>43</v>
      </c>
      <c r="O2" s="19" t="s">
        <v>44</v>
      </c>
    </row>
    <row r="3" ht="31.5" customHeight="1">
      <c r="A3" s="13">
        <v>46293.0</v>
      </c>
      <c r="B3" s="17" t="s">
        <v>45</v>
      </c>
      <c r="C3" s="19" t="s">
        <v>46</v>
      </c>
      <c r="D3" s="19" t="s">
        <v>47</v>
      </c>
      <c r="E3" s="19" t="s">
        <v>48</v>
      </c>
      <c r="F3" s="19" t="s">
        <v>49</v>
      </c>
      <c r="G3" s="19" t="s">
        <v>50</v>
      </c>
      <c r="H3" s="17" t="s">
        <v>51</v>
      </c>
      <c r="I3" s="17">
        <v>2.0</v>
      </c>
      <c r="J3" s="17" t="s">
        <v>41</v>
      </c>
      <c r="K3" s="17">
        <v>3.0</v>
      </c>
      <c r="L3" s="22">
        <v>6.0</v>
      </c>
      <c r="M3" s="23" t="s">
        <v>52</v>
      </c>
      <c r="N3" s="19" t="s">
        <v>43</v>
      </c>
      <c r="O3" s="19" t="s">
        <v>53</v>
      </c>
    </row>
    <row r="4" ht="31.5" customHeight="1">
      <c r="A4" s="13">
        <v>46272.0</v>
      </c>
      <c r="B4" s="17" t="s">
        <v>54</v>
      </c>
      <c r="C4" s="19" t="s">
        <v>55</v>
      </c>
      <c r="D4" s="19" t="s">
        <v>56</v>
      </c>
      <c r="E4" s="19" t="s">
        <v>57</v>
      </c>
      <c r="F4" s="19" t="s">
        <v>58</v>
      </c>
      <c r="G4" s="19" t="s">
        <v>59</v>
      </c>
      <c r="H4" s="17" t="s">
        <v>51</v>
      </c>
      <c r="I4" s="17">
        <v>2.0</v>
      </c>
      <c r="J4" s="17" t="s">
        <v>41</v>
      </c>
      <c r="K4" s="17">
        <v>3.0</v>
      </c>
      <c r="L4" s="22">
        <v>6.0</v>
      </c>
      <c r="M4" s="23" t="s">
        <v>42</v>
      </c>
      <c r="N4" s="19" t="s">
        <v>43</v>
      </c>
      <c r="O4" s="19" t="s">
        <v>60</v>
      </c>
    </row>
    <row r="5" ht="31.5" customHeight="1">
      <c r="A5" s="27">
        <v>46325.0</v>
      </c>
      <c r="B5" s="17" t="s">
        <v>62</v>
      </c>
      <c r="C5" s="19" t="s">
        <v>63</v>
      </c>
      <c r="D5" s="19" t="s">
        <v>36</v>
      </c>
      <c r="E5" s="19" t="s">
        <v>64</v>
      </c>
      <c r="F5" s="19" t="s">
        <v>65</v>
      </c>
      <c r="G5" s="19" t="s">
        <v>66</v>
      </c>
      <c r="H5" s="17" t="s">
        <v>40</v>
      </c>
      <c r="I5" s="17">
        <v>3.0</v>
      </c>
      <c r="J5" s="17" t="s">
        <v>67</v>
      </c>
      <c r="K5" s="17">
        <v>2.0</v>
      </c>
      <c r="L5" s="22">
        <v>6.0</v>
      </c>
      <c r="M5" s="23" t="s">
        <v>42</v>
      </c>
      <c r="N5" s="19" t="s">
        <v>43</v>
      </c>
      <c r="O5" s="19" t="s">
        <v>68</v>
      </c>
    </row>
    <row r="6" ht="31.5" customHeight="1">
      <c r="A6" s="27">
        <v>46318.0</v>
      </c>
      <c r="B6" s="17" t="s">
        <v>69</v>
      </c>
      <c r="C6" s="19" t="s">
        <v>70</v>
      </c>
      <c r="D6" s="19" t="s">
        <v>36</v>
      </c>
      <c r="E6" s="19" t="s">
        <v>71</v>
      </c>
      <c r="F6" s="19" t="s">
        <v>72</v>
      </c>
      <c r="G6" s="19" t="s">
        <v>73</v>
      </c>
      <c r="H6" s="17" t="s">
        <v>51</v>
      </c>
      <c r="I6" s="17">
        <v>2.0</v>
      </c>
      <c r="J6" s="17" t="s">
        <v>41</v>
      </c>
      <c r="K6" s="17">
        <v>3.0</v>
      </c>
      <c r="L6" s="22">
        <v>6.0</v>
      </c>
      <c r="M6" s="23" t="s">
        <v>52</v>
      </c>
      <c r="N6" s="19" t="s">
        <v>43</v>
      </c>
      <c r="O6" s="19" t="s">
        <v>74</v>
      </c>
    </row>
    <row r="7" ht="31.5" customHeight="1">
      <c r="A7" s="13">
        <v>46265.0</v>
      </c>
      <c r="B7" s="17" t="s">
        <v>75</v>
      </c>
      <c r="C7" s="19" t="s">
        <v>76</v>
      </c>
      <c r="D7" s="19" t="s">
        <v>56</v>
      </c>
      <c r="E7" s="19" t="s">
        <v>77</v>
      </c>
      <c r="F7" s="19" t="s">
        <v>78</v>
      </c>
      <c r="G7" s="19" t="s">
        <v>79</v>
      </c>
      <c r="H7" s="17" t="s">
        <v>80</v>
      </c>
      <c r="I7" s="17">
        <v>1.0</v>
      </c>
      <c r="J7" s="17" t="s">
        <v>41</v>
      </c>
      <c r="K7" s="17">
        <v>3.0</v>
      </c>
      <c r="L7" s="34">
        <v>3.0</v>
      </c>
      <c r="M7" s="23" t="s">
        <v>42</v>
      </c>
      <c r="N7" s="19" t="s">
        <v>43</v>
      </c>
      <c r="O7" s="19" t="s">
        <v>82</v>
      </c>
    </row>
    <row r="8" ht="31.5" customHeight="1">
      <c r="A8" s="13">
        <v>46328.0</v>
      </c>
      <c r="B8" s="17" t="s">
        <v>83</v>
      </c>
      <c r="C8" s="19" t="s">
        <v>86</v>
      </c>
      <c r="D8" s="19" t="s">
        <v>36</v>
      </c>
      <c r="E8" s="19" t="s">
        <v>87</v>
      </c>
      <c r="F8" s="19" t="s">
        <v>88</v>
      </c>
      <c r="G8" s="19" t="s">
        <v>89</v>
      </c>
      <c r="H8" s="17" t="s">
        <v>51</v>
      </c>
      <c r="I8" s="17">
        <v>2.0</v>
      </c>
      <c r="J8" s="17" t="s">
        <v>90</v>
      </c>
      <c r="K8" s="17">
        <v>1.0</v>
      </c>
      <c r="L8" s="34">
        <v>2.0</v>
      </c>
      <c r="M8" s="23" t="s">
        <v>42</v>
      </c>
      <c r="N8" s="19" t="s">
        <v>91</v>
      </c>
      <c r="O8" s="19" t="s">
        <v>92</v>
      </c>
    </row>
    <row r="9" ht="31.5" customHeight="1">
      <c r="A9" s="13">
        <v>46286.0</v>
      </c>
      <c r="B9" s="17" t="s">
        <v>93</v>
      </c>
      <c r="C9" s="19" t="s">
        <v>94</v>
      </c>
      <c r="D9" s="19" t="s">
        <v>56</v>
      </c>
      <c r="E9" s="19" t="s">
        <v>95</v>
      </c>
      <c r="F9" s="19" t="s">
        <v>97</v>
      </c>
      <c r="G9" s="19" t="s">
        <v>98</v>
      </c>
      <c r="H9" s="17" t="s">
        <v>80</v>
      </c>
      <c r="I9" s="17">
        <v>1.0</v>
      </c>
      <c r="J9" s="17" t="s">
        <v>41</v>
      </c>
      <c r="K9" s="17">
        <v>3.0</v>
      </c>
      <c r="L9" s="34">
        <v>3.0</v>
      </c>
      <c r="M9" s="23" t="s">
        <v>42</v>
      </c>
      <c r="N9" s="19" t="s">
        <v>43</v>
      </c>
      <c r="O9" s="19" t="s">
        <v>99</v>
      </c>
    </row>
    <row r="10" ht="31.5" customHeight="1">
      <c r="A10" s="13">
        <v>46328.0</v>
      </c>
      <c r="B10" s="17" t="s">
        <v>100</v>
      </c>
      <c r="C10" s="19" t="s">
        <v>101</v>
      </c>
      <c r="D10" s="19" t="s">
        <v>102</v>
      </c>
      <c r="E10" s="19" t="s">
        <v>103</v>
      </c>
      <c r="F10" s="19" t="s">
        <v>104</v>
      </c>
      <c r="G10" s="19" t="s">
        <v>105</v>
      </c>
      <c r="H10" s="17" t="s">
        <v>51</v>
      </c>
      <c r="I10" s="17">
        <v>2.0</v>
      </c>
      <c r="J10" s="17" t="s">
        <v>67</v>
      </c>
      <c r="K10" s="17">
        <v>2.0</v>
      </c>
      <c r="L10" s="40">
        <v>4.0</v>
      </c>
      <c r="M10" s="23" t="s">
        <v>42</v>
      </c>
      <c r="N10" s="19" t="s">
        <v>43</v>
      </c>
      <c r="O10" s="19" t="s">
        <v>106</v>
      </c>
    </row>
    <row r="11" ht="31.5" customHeight="1">
      <c r="A11" s="13">
        <v>46335.0</v>
      </c>
      <c r="B11" s="17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112</v>
      </c>
      <c r="H11" s="17" t="s">
        <v>51</v>
      </c>
      <c r="I11" s="17">
        <v>2.0</v>
      </c>
      <c r="J11" s="17" t="s">
        <v>90</v>
      </c>
      <c r="K11" s="17">
        <v>1.0</v>
      </c>
      <c r="L11" s="34">
        <v>2.0</v>
      </c>
      <c r="M11" s="23" t="s">
        <v>113</v>
      </c>
      <c r="N11" s="19" t="s">
        <v>91</v>
      </c>
      <c r="O11" s="19" t="s">
        <v>115</v>
      </c>
    </row>
    <row r="12" ht="31.5" customHeight="1">
      <c r="A12" s="13">
        <v>46332.0</v>
      </c>
      <c r="B12" s="17" t="s">
        <v>116</v>
      </c>
      <c r="C12" s="19" t="s">
        <v>117</v>
      </c>
      <c r="D12" s="19" t="s">
        <v>102</v>
      </c>
      <c r="E12" s="19" t="s">
        <v>118</v>
      </c>
      <c r="F12" s="19" t="s">
        <v>119</v>
      </c>
      <c r="G12" s="19" t="s">
        <v>120</v>
      </c>
      <c r="H12" s="17" t="s">
        <v>51</v>
      </c>
      <c r="I12" s="17">
        <v>2.0</v>
      </c>
      <c r="J12" s="17" t="s">
        <v>67</v>
      </c>
      <c r="K12" s="17">
        <v>2.0</v>
      </c>
      <c r="L12" s="40">
        <v>4.0</v>
      </c>
      <c r="M12" s="23" t="s">
        <v>52</v>
      </c>
      <c r="N12" s="19" t="s">
        <v>43</v>
      </c>
      <c r="O12" s="19" t="s">
        <v>121</v>
      </c>
    </row>
    <row r="13" ht="31.5" customHeight="1">
      <c r="A13" s="13">
        <v>46332.0</v>
      </c>
      <c r="B13" s="17" t="s">
        <v>122</v>
      </c>
      <c r="C13" s="19" t="s">
        <v>123</v>
      </c>
      <c r="D13" s="19" t="s">
        <v>102</v>
      </c>
      <c r="E13" s="19" t="s">
        <v>124</v>
      </c>
      <c r="F13" s="19" t="s">
        <v>125</v>
      </c>
      <c r="G13" s="19" t="s">
        <v>126</v>
      </c>
      <c r="H13" s="17" t="s">
        <v>51</v>
      </c>
      <c r="I13" s="17">
        <v>2.0</v>
      </c>
      <c r="J13" s="17" t="s">
        <v>67</v>
      </c>
      <c r="K13" s="17">
        <v>2.0</v>
      </c>
      <c r="L13" s="40">
        <v>4.0</v>
      </c>
      <c r="M13" s="23" t="s">
        <v>52</v>
      </c>
      <c r="N13" s="19" t="s">
        <v>43</v>
      </c>
      <c r="O13" s="19" t="s">
        <v>127</v>
      </c>
    </row>
    <row r="14" ht="31.5" customHeight="1">
      <c r="A14" s="13">
        <v>46265.0</v>
      </c>
      <c r="B14" s="17" t="s">
        <v>128</v>
      </c>
      <c r="C14" s="19" t="s">
        <v>129</v>
      </c>
      <c r="D14" s="19" t="s">
        <v>36</v>
      </c>
      <c r="E14" s="19" t="s">
        <v>130</v>
      </c>
      <c r="F14" s="19" t="s">
        <v>131</v>
      </c>
      <c r="G14" s="19" t="s">
        <v>132</v>
      </c>
      <c r="H14" s="17" t="s">
        <v>51</v>
      </c>
      <c r="I14" s="17">
        <v>2.0</v>
      </c>
      <c r="J14" s="17" t="s">
        <v>41</v>
      </c>
      <c r="K14" s="17">
        <v>3.0</v>
      </c>
      <c r="L14" s="22">
        <v>6.0</v>
      </c>
      <c r="M14" s="23" t="s">
        <v>42</v>
      </c>
      <c r="N14" s="19" t="s">
        <v>43</v>
      </c>
      <c r="O14" s="19" t="s">
        <v>134</v>
      </c>
    </row>
    <row r="15" ht="31.5" customHeight="1">
      <c r="A15" s="13">
        <v>46300.0</v>
      </c>
      <c r="B15" s="17" t="s">
        <v>135</v>
      </c>
      <c r="C15" s="19" t="s">
        <v>136</v>
      </c>
      <c r="D15" s="19" t="s">
        <v>56</v>
      </c>
      <c r="E15" s="19" t="s">
        <v>137</v>
      </c>
      <c r="F15" s="19" t="s">
        <v>138</v>
      </c>
      <c r="G15" s="19" t="s">
        <v>139</v>
      </c>
      <c r="H15" s="17" t="s">
        <v>51</v>
      </c>
      <c r="I15" s="17">
        <v>2.0</v>
      </c>
      <c r="J15" s="17" t="s">
        <v>67</v>
      </c>
      <c r="K15" s="17">
        <v>2.0</v>
      </c>
      <c r="L15" s="40">
        <v>4.0</v>
      </c>
      <c r="M15" s="23" t="s">
        <v>42</v>
      </c>
      <c r="N15" s="19" t="s">
        <v>43</v>
      </c>
      <c r="O15" s="19" t="s">
        <v>140</v>
      </c>
    </row>
    <row r="16" ht="31.5" customHeight="1">
      <c r="A16" s="27">
        <v>46311.0</v>
      </c>
      <c r="B16" s="17" t="s">
        <v>141</v>
      </c>
      <c r="C16" s="19" t="s">
        <v>142</v>
      </c>
      <c r="D16" s="19" t="s">
        <v>36</v>
      </c>
      <c r="E16" s="19" t="s">
        <v>143</v>
      </c>
      <c r="F16" s="19" t="s">
        <v>144</v>
      </c>
      <c r="G16" s="19" t="s">
        <v>146</v>
      </c>
      <c r="H16" s="17" t="s">
        <v>80</v>
      </c>
      <c r="I16" s="17">
        <v>1.0</v>
      </c>
      <c r="J16" s="17" t="s">
        <v>67</v>
      </c>
      <c r="K16" s="17">
        <v>2.0</v>
      </c>
      <c r="L16" s="34">
        <v>2.0</v>
      </c>
      <c r="M16" s="23" t="s">
        <v>113</v>
      </c>
      <c r="N16" s="19" t="s">
        <v>91</v>
      </c>
      <c r="O16" s="19" t="s">
        <v>147</v>
      </c>
    </row>
    <row r="17" ht="31.5" customHeight="1">
      <c r="A17" s="13">
        <v>46265.0</v>
      </c>
      <c r="B17" s="17" t="s">
        <v>148</v>
      </c>
      <c r="C17" s="19" t="s">
        <v>149</v>
      </c>
      <c r="D17" s="19" t="s">
        <v>109</v>
      </c>
      <c r="E17" s="19" t="s">
        <v>150</v>
      </c>
      <c r="F17" s="19" t="s">
        <v>151</v>
      </c>
      <c r="G17" s="19" t="s">
        <v>152</v>
      </c>
      <c r="H17" s="17" t="s">
        <v>80</v>
      </c>
      <c r="I17" s="17">
        <v>1.0</v>
      </c>
      <c r="J17" s="17" t="s">
        <v>41</v>
      </c>
      <c r="K17" s="17">
        <v>3.0</v>
      </c>
      <c r="L17" s="34">
        <v>3.0</v>
      </c>
      <c r="M17" s="23" t="s">
        <v>113</v>
      </c>
      <c r="N17" s="19" t="s">
        <v>43</v>
      </c>
      <c r="O17" s="19" t="s">
        <v>154</v>
      </c>
    </row>
    <row r="18" ht="31.5" customHeight="1">
      <c r="A18" s="27">
        <v>46339.0</v>
      </c>
      <c r="B18" s="17" t="s">
        <v>155</v>
      </c>
      <c r="C18" s="19" t="s">
        <v>156</v>
      </c>
      <c r="D18" s="19" t="s">
        <v>36</v>
      </c>
      <c r="E18" s="19" t="s">
        <v>157</v>
      </c>
      <c r="F18" s="19" t="s">
        <v>158</v>
      </c>
      <c r="G18" s="19" t="s">
        <v>159</v>
      </c>
      <c r="H18" s="17" t="s">
        <v>80</v>
      </c>
      <c r="I18" s="17">
        <v>1.0</v>
      </c>
      <c r="J18" s="17" t="s">
        <v>41</v>
      </c>
      <c r="K18" s="17">
        <v>3.0</v>
      </c>
      <c r="L18" s="34">
        <v>3.0</v>
      </c>
      <c r="M18" s="23" t="s">
        <v>42</v>
      </c>
      <c r="N18" s="19" t="s">
        <v>91</v>
      </c>
      <c r="O18" s="19" t="s">
        <v>161</v>
      </c>
    </row>
    <row r="19" ht="31.5" customHeight="1">
      <c r="A19" s="13">
        <v>46272.0</v>
      </c>
      <c r="B19" s="17" t="s">
        <v>162</v>
      </c>
      <c r="C19" s="19" t="s">
        <v>163</v>
      </c>
      <c r="D19" s="19" t="s">
        <v>36</v>
      </c>
      <c r="E19" s="19" t="s">
        <v>164</v>
      </c>
      <c r="F19" s="19" t="s">
        <v>165</v>
      </c>
      <c r="G19" s="19" t="s">
        <v>167</v>
      </c>
      <c r="H19" s="17" t="s">
        <v>80</v>
      </c>
      <c r="I19" s="17">
        <v>1.0</v>
      </c>
      <c r="J19" s="17" t="s">
        <v>67</v>
      </c>
      <c r="K19" s="17">
        <v>2.0</v>
      </c>
      <c r="L19" s="34">
        <v>2.0</v>
      </c>
      <c r="M19" s="23" t="s">
        <v>42</v>
      </c>
      <c r="N19" s="19" t="s">
        <v>43</v>
      </c>
      <c r="O19" s="19" t="s">
        <v>168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2026-09-14T23:20:16Z</dcterms:created>
  <dc:creator>openpyxl</dc:creator>
</cp:coreProperties>
</file>