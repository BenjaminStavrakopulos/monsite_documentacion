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4"/>
    <sheet state="visible" name="Burn Down Chart" sheetId="2" r:id="rId5"/>
  </sheets>
  <definedNames/>
  <calcPr/>
  <extLst>
    <ext uri="GoogleSheetsCustomDataVersion2">
      <go:sheetsCustomData xmlns:go="http://customooxmlschemas.google.com/" r:id="rId6" roundtripDataChecksum="0Q3mBj6uyvkAVmt43cjUZ8A0lUFt7KJ/VnZg/4ZqveU="/>
    </ext>
  </extLst>
</workbook>
</file>

<file path=xl/sharedStrings.xml><?xml version="1.0" encoding="utf-8"?>
<sst xmlns="http://schemas.openxmlformats.org/spreadsheetml/2006/main" count="298" uniqueCount="194">
  <si>
    <t>Comprometer Historias de Usuario</t>
  </si>
  <si>
    <t>Definición y Estimación de Tarea</t>
  </si>
  <si>
    <t>ID</t>
  </si>
  <si>
    <t>Historia de Usuario</t>
  </si>
  <si>
    <t>Sprint</t>
  </si>
  <si>
    <t>ID-Tarea</t>
  </si>
  <si>
    <t>Tarea o Actividad</t>
  </si>
  <si>
    <t>Estimación Puntos</t>
  </si>
  <si>
    <t>E08-H26</t>
  </si>
  <si>
    <t>Como administrador quiero gestionar los productos del catálogo.</t>
  </si>
  <si>
    <t>Sprint 3</t>
  </si>
  <si>
    <t>H26-T1</t>
  </si>
  <si>
    <t>Diseñar formulario de gestión de productos.</t>
  </si>
  <si>
    <t>E08-H28</t>
  </si>
  <si>
    <t>Como administrador quiero gestionar categorías de productos.</t>
  </si>
  <si>
    <t>H26-T2</t>
  </si>
  <si>
    <t>Desarrollar creación, edición y eliminación.</t>
  </si>
  <si>
    <t>E08-H27</t>
  </si>
  <si>
    <t>Como administrador quiero gestionar marcas personalizadas.</t>
  </si>
  <si>
    <t>H26-T3</t>
  </si>
  <si>
    <t>Integrar productos con la base de datos.</t>
  </si>
  <si>
    <t>E08-H29</t>
  </si>
  <si>
    <t>Como administrador quiero subir imágenes de los productos.</t>
  </si>
  <si>
    <t>H26-T4</t>
  </si>
  <si>
    <t>Realizar pruebas de gestión.</t>
  </si>
  <si>
    <t>E09-H32</t>
  </si>
  <si>
    <t>Como administrador quiero revisar y actualizar órdenes.</t>
  </si>
  <si>
    <t>H28-T1</t>
  </si>
  <si>
    <t>Diseñar sección de categorías.</t>
  </si>
  <si>
    <t>E09-H48</t>
  </si>
  <si>
    <t>Como administrador quiero solicitar el reembolso real de un pago aprobado.</t>
  </si>
  <si>
    <t>H28-T2</t>
  </si>
  <si>
    <t>Desarrollar creación, edición y eliminación de categorías.</t>
  </si>
  <si>
    <t>E10-H34</t>
  </si>
  <si>
    <t>Como usuario quiero navegar con menús claros y accesibles.</t>
  </si>
  <si>
    <t>H28-T3</t>
  </si>
  <si>
    <t>Integrar categorías con los productos.</t>
  </si>
  <si>
    <t>E10-H35</t>
  </si>
  <si>
    <t>Como usuario quiero usar la web desde celular, tablet o PC.</t>
  </si>
  <si>
    <t>H28-T4</t>
  </si>
  <si>
    <t>E09-H31</t>
  </si>
  <si>
    <t>Como administrador quiero crear y administrar descuentos.</t>
  </si>
  <si>
    <t>H27-T1</t>
  </si>
  <si>
    <t>Diseñar sección de marcas.</t>
  </si>
  <si>
    <t>E13-H46</t>
  </si>
  <si>
    <t>Como bodeguero quiero gestionar órdenes pendientes de despacho</t>
  </si>
  <si>
    <t>H27-T2</t>
  </si>
  <si>
    <t>Desarrollar creación, edición y eliminación de marcas.</t>
  </si>
  <si>
    <t>E13-H47</t>
  </si>
  <si>
    <t>Como bodeguero quiero preparar pedidos para despacho</t>
  </si>
  <si>
    <t>H27-T3</t>
  </si>
  <si>
    <t>Integrar marcas con la base de datos.</t>
  </si>
  <si>
    <t>E09-H30</t>
  </si>
  <si>
    <t>Como administrador quiero ver métricas generales en el dashboard.</t>
  </si>
  <si>
    <t>H27-T4</t>
  </si>
  <si>
    <t>E13-H45</t>
  </si>
  <si>
    <t>Como bodeguero quiero marcar productos como sin stock.</t>
  </si>
  <si>
    <t>H29-T1</t>
  </si>
  <si>
    <t>Diseñar componente para cargar imágenes.</t>
  </si>
  <si>
    <t>E13-H44</t>
  </si>
  <si>
    <t>Como bodeguero quiero ingresar a un panel específico.</t>
  </si>
  <si>
    <t>H29-T2</t>
  </si>
  <si>
    <t>Desarrollar carga y almacenamiento de imágenes.</t>
  </si>
  <si>
    <t>Como administrador quiero acceder a la tienda desde el panel.</t>
  </si>
  <si>
    <t>H29-T3</t>
  </si>
  <si>
    <t>Integrar imágenes con los productos.</t>
  </si>
  <si>
    <t>E09-H49</t>
  </si>
  <si>
    <t>Quiero cargar, recortar y publicar videos del inicio.</t>
  </si>
  <si>
    <t>H29-T4</t>
  </si>
  <si>
    <t>Realizar pruebas de carga.</t>
  </si>
  <si>
    <t>E09-H52</t>
  </si>
  <si>
    <t>Quiero consultar eventos de seguridad y rechazos de solicitudes.</t>
  </si>
  <si>
    <t>H32-T1</t>
  </si>
  <si>
    <t>Diseñar módulo de gestión de órdenes.</t>
  </si>
  <si>
    <t>E07-H24</t>
  </si>
  <si>
    <t>Quiero gestionar mi cuenta, pudiendo modificar o eliminar mi cuenta.</t>
  </si>
  <si>
    <t>H32-T2</t>
  </si>
  <si>
    <t>Desarrollar actualización de estados.</t>
  </si>
  <si>
    <t>E07-H25</t>
  </si>
  <si>
    <t>Quiero cambiar mi contraseña.</t>
  </si>
  <si>
    <t>H32-T3</t>
  </si>
  <si>
    <t>Integrar cambios con la base de datos.</t>
  </si>
  <si>
    <t>H32-T4</t>
  </si>
  <si>
    <t>Realizar pruebas de actualización.</t>
  </si>
  <si>
    <t>H48-T1</t>
  </si>
  <si>
    <t>Implementar endpoint para solicitar reembolsos en Mercado Pago.</t>
  </si>
  <si>
    <t>H48-T2</t>
  </si>
  <si>
    <t>Validar permisos de administrador y correspondencia entre pago y pedido.</t>
  </si>
  <si>
    <t>H48-T3</t>
  </si>
  <si>
    <t>Registrar el reembolso y sus datos asociados en la base de datos.</t>
  </si>
  <si>
    <t>H48-T4</t>
  </si>
  <si>
    <t>Probar reembolsos exitosos, rechazados y usuarios sin autorización.</t>
  </si>
  <si>
    <t>H34-T1</t>
  </si>
  <si>
    <t>Diseñar estructura de navegación.</t>
  </si>
  <si>
    <t>H34-T2</t>
  </si>
  <si>
    <t>Desarrollar menús y elementos accesibles.</t>
  </si>
  <si>
    <t>H34-T3</t>
  </si>
  <si>
    <t>Integrar navegación en las principales vistas.</t>
  </si>
  <si>
    <t>H34-T4</t>
  </si>
  <si>
    <t>Realizar pruebas de usabilidad.</t>
  </si>
  <si>
    <t>H35-T1</t>
  </si>
  <si>
    <t>Diseñar interfaces responsive.</t>
  </si>
  <si>
    <t>H35-T2</t>
  </si>
  <si>
    <t>Adaptar componentes a distintos tamaños de pantalla.</t>
  </si>
  <si>
    <t>H35-T3</t>
  </si>
  <si>
    <t>Realizar ajustes para móvil, tablet y PC.</t>
  </si>
  <si>
    <t>H35-T4</t>
  </si>
  <si>
    <t>Realizar pruebas responsive.</t>
  </si>
  <si>
    <t>H31-T1</t>
  </si>
  <si>
    <t>Diseñar módulo de descuentos.</t>
  </si>
  <si>
    <t>H31-T2</t>
  </si>
  <si>
    <t>Desarrollar creación y edición de descuentos.</t>
  </si>
  <si>
    <t>H31-T3</t>
  </si>
  <si>
    <t>Integrar descuentos con el checkout.</t>
  </si>
  <si>
    <t>H31-T4</t>
  </si>
  <si>
    <t>Realizar pruebas de descuentos.</t>
  </si>
  <si>
    <t>H46-T1</t>
  </si>
  <si>
    <t>Diseñar vista de órdenes pendientes.</t>
  </si>
  <si>
    <t>H46-T2</t>
  </si>
  <si>
    <t>Desarrollar consulta de órdenes pendientes.</t>
  </si>
  <si>
    <t>H46-T3</t>
  </si>
  <si>
    <t>Integrar actualización del estado de despacho.</t>
  </si>
  <si>
    <t>H46-T4</t>
  </si>
  <si>
    <t>H47-T1</t>
  </si>
  <si>
    <t>Diseñar módulo de preparación de pedidos.</t>
  </si>
  <si>
    <t>H47-T2</t>
  </si>
  <si>
    <t>Desarrollar gestión de productos del pedido.</t>
  </si>
  <si>
    <t>H47-T3</t>
  </si>
  <si>
    <t>Integrar cambio de estado del pedido.</t>
  </si>
  <si>
    <t>H47-T4</t>
  </si>
  <si>
    <t>Realizar pruebas del proceso de despacho</t>
  </si>
  <si>
    <t>H30-T1</t>
  </si>
  <si>
    <t>Diseñar dashboard administrativo.</t>
  </si>
  <si>
    <t>H30-T2</t>
  </si>
  <si>
    <t>Desarrollar consulta de métricas.</t>
  </si>
  <si>
    <t>H30-T3</t>
  </si>
  <si>
    <t>Integrar gráficos e indicadores.</t>
  </si>
  <si>
    <t>H30-T4</t>
  </si>
  <si>
    <t>Realizar pruebas del dashboard.</t>
  </si>
  <si>
    <t>H45-T1</t>
  </si>
  <si>
    <t>Diseñar opción para marcar productos sin stock.</t>
  </si>
  <si>
    <t>H45-T2</t>
  </si>
  <si>
    <t>Desarrollar actualización del stock.</t>
  </si>
  <si>
    <t>H45-T3</t>
  </si>
  <si>
    <t>Integrar cambio con el catálogo.</t>
  </si>
  <si>
    <t>H45-T4</t>
  </si>
  <si>
    <t>H44-T1</t>
  </si>
  <si>
    <t>Diseñar panel del bodeguero.</t>
  </si>
  <si>
    <t>H44-T2</t>
  </si>
  <si>
    <t>Desarrollar acceso al panel.</t>
  </si>
  <si>
    <t>H44-T3</t>
  </si>
  <si>
    <t>Integrar permisos del bodeguero.</t>
  </si>
  <si>
    <t>H44-T4</t>
  </si>
  <si>
    <t>Realizar pruebas de acceso.</t>
  </si>
  <si>
    <t>Diseñar acceso a la tienda desde el panel.</t>
  </si>
  <si>
    <t>Desarrollar navegación hacia la tienda.</t>
  </si>
  <si>
    <t>Integrar acceso con el panel administrativo.</t>
  </si>
  <si>
    <t>Realizar pruebas de navegación.</t>
  </si>
  <si>
    <t>H49-T1</t>
  </si>
  <si>
    <t>Implementar panel para cargar y gestionar videos de portada.</t>
  </si>
  <si>
    <t>H49-T2</t>
  </si>
  <si>
    <t>Incorporar previsualización y recorte de videos antes de publicarlos.</t>
  </si>
  <si>
    <t>H49-T3</t>
  </si>
  <si>
    <t>Guardar videos, posters y enlaces a productos en Storage y Firestore.</t>
  </si>
  <si>
    <t>H49-T4</t>
  </si>
  <si>
    <t>Probar publicación, ordenamiento y eliminación de contenido multimedia.</t>
  </si>
  <si>
    <t>H52-T1</t>
  </si>
  <si>
    <t>Implementar registro de eventos de seguridad y rechazos del backend.</t>
  </si>
  <si>
    <t>H52-T2</t>
  </si>
  <si>
    <t>Crear endpoint protegido para consultar los eventos registrados.</t>
  </si>
  <si>
    <t>H52-T3</t>
  </si>
  <si>
    <t>Incorporar filtros y paginación en el panel de administración.</t>
  </si>
  <si>
    <t>H52-T4</t>
  </si>
  <si>
    <t>Probar registros de acceso, autorización, límites y solicitudes rechazadas.</t>
  </si>
  <si>
    <t>H24-T1</t>
  </si>
  <si>
    <t>Diseñar sección de gestión de cuenta.</t>
  </si>
  <si>
    <t>H24-T2</t>
  </si>
  <si>
    <t>Desarrollar modificación de datos personales.</t>
  </si>
  <si>
    <t>H24-T3</t>
  </si>
  <si>
    <t>Implementar eliminación de datos de la cuenta.</t>
  </si>
  <si>
    <t>H24-T4</t>
  </si>
  <si>
    <t>Realizar pruebas de modificación y eliminación.</t>
  </si>
  <si>
    <t>H25-T1</t>
  </si>
  <si>
    <t>Diseñar formulario de cambio de contraseña.</t>
  </si>
  <si>
    <t>H25-T2</t>
  </si>
  <si>
    <t>Desarrollar actualización de contraseña.</t>
  </si>
  <si>
    <t>H25-T3</t>
  </si>
  <si>
    <t>Implementar validación de seguridad.</t>
  </si>
  <si>
    <t>H25-T4</t>
  </si>
  <si>
    <t>Realizar pruebas de cambio de contraseña.</t>
  </si>
  <si>
    <t>Fecha</t>
  </si>
  <si>
    <t>Estimado</t>
  </si>
  <si>
    <t>Realizado</t>
  </si>
  <si>
    <t>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</si>
</sst>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vertical="bottom"/>
    </xf>
    <xf borderId="4" fillId="2" fontId="1" numFmtId="0" xfId="0" applyAlignment="1" applyBorder="1" applyFill="1" applyFont="1">
      <alignment horizontal="center" shrinkToFit="0" vertical="bottom" wrapText="1"/>
    </xf>
    <xf borderId="4" fillId="2" fontId="1" numFmtId="0" xfId="0" applyAlignment="1" applyBorder="1" applyFill="1" applyFont="1">
      <alignment horizontal="center" vertical="bottom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center" vertical="bottom"/>
    </xf>
    <xf borderId="4" fillId="3" fontId="4" numFmtId="0" xfId="0" applyAlignment="1" applyBorder="1" applyFill="1" applyFont="1">
      <alignment horizontal="center" readingOrder="0" vertical="bottom"/>
    </xf>
    <xf borderId="4" fillId="0" fontId="5" numFmtId="164" xfId="0" applyAlignment="1" applyBorder="1" applyFont="1" applyNumberFormat="1">
      <alignment horizontal="right" readingOrder="0"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readingOrder="0" vertical="bottom"/>
    </xf>
    <xf borderId="4" fillId="0" fontId="5" numFmtId="1" xfId="0" applyAlignment="1" applyBorder="1" applyFont="1" applyNumberFormat="1">
      <alignment horizontal="right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'Burn Down Chart'!$C$2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 Down Chart'!$B$3:$B$17</c:f>
            </c:strRef>
          </c:cat>
          <c:val>
            <c:numRef>
              <c:f>'Burn Down Chart'!$C$3:$C$17</c:f>
              <c:numCache/>
            </c:numRef>
          </c:val>
          <c:smooth val="0"/>
        </c:ser>
        <c:ser>
          <c:idx val="1"/>
          <c:order val="1"/>
          <c:tx>
            <c:strRef>
              <c:f>'Burn Down Chart'!$D$2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 Down Chart'!$B$3:$B$17</c:f>
            </c:strRef>
          </c:cat>
          <c:val>
            <c:numRef>
              <c:f>'Burn Down Chart'!$D$3:$D$17</c:f>
              <c:numCache/>
            </c:numRef>
          </c:val>
          <c:smooth val="0"/>
        </c:ser>
        <c:axId val="1201173830"/>
        <c:axId val="1347623272"/>
      </c:lineChart>
      <c:catAx>
        <c:axId val="1201173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7623272"/>
      </c:catAx>
      <c:valAx>
        <c:axId val="1347623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0117383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0</xdr:row>
      <xdr:rowOff>171450</xdr:rowOff>
    </xdr:from>
    <xdr:ext cx="9410700" cy="5829300"/>
    <xdr:graphicFrame>
      <xdr:nvGraphicFramePr>
        <xdr:cNvPr id="175207894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88"/>
    <col customWidth="1" min="3" max="3" width="19.38"/>
    <col customWidth="1" min="4" max="4" width="19.63"/>
    <col customWidth="1" min="5" max="5" width="18.25"/>
    <col customWidth="1" min="6" max="6" width="12.63"/>
    <col customWidth="1" min="8" max="8" width="27.75"/>
    <col customWidth="1" min="9" max="9" width="18.25"/>
  </cols>
  <sheetData>
    <row r="1" ht="15.75" customHeight="1"/>
    <row r="2" ht="15.75" customHeight="1">
      <c r="B2" s="1" t="s">
        <v>0</v>
      </c>
      <c r="C2" s="2"/>
      <c r="D2" s="3"/>
      <c r="F2" s="4" t="s">
        <v>1</v>
      </c>
      <c r="G2" s="2"/>
      <c r="H2" s="2"/>
      <c r="I2" s="3"/>
    </row>
    <row r="3" ht="15.75" customHeight="1">
      <c r="B3" s="5" t="s">
        <v>2</v>
      </c>
      <c r="C3" s="5" t="s">
        <v>3</v>
      </c>
      <c r="D3" s="5" t="s">
        <v>4</v>
      </c>
      <c r="F3" s="6" t="s">
        <v>2</v>
      </c>
      <c r="G3" s="6" t="s">
        <v>5</v>
      </c>
      <c r="H3" s="5" t="s">
        <v>6</v>
      </c>
      <c r="I3" s="6" t="s">
        <v>7</v>
      </c>
    </row>
    <row r="4" ht="15.75" customHeight="1">
      <c r="B4" s="7" t="s">
        <v>8</v>
      </c>
      <c r="C4" s="8" t="s">
        <v>9</v>
      </c>
      <c r="D4" s="9" t="s">
        <v>10</v>
      </c>
      <c r="F4" s="7" t="s">
        <v>8</v>
      </c>
      <c r="G4" s="7" t="s">
        <v>11</v>
      </c>
      <c r="H4" s="10" t="s">
        <v>12</v>
      </c>
      <c r="I4" s="11">
        <v>5.0</v>
      </c>
    </row>
    <row r="5" ht="15.75" customHeight="1">
      <c r="B5" s="7" t="s">
        <v>13</v>
      </c>
      <c r="C5" s="8" t="s">
        <v>14</v>
      </c>
      <c r="D5" s="9" t="s">
        <v>10</v>
      </c>
      <c r="F5" s="7" t="s">
        <v>8</v>
      </c>
      <c r="G5" s="7" t="s">
        <v>15</v>
      </c>
      <c r="H5" s="10" t="s">
        <v>16</v>
      </c>
      <c r="I5" s="11">
        <v>5.0</v>
      </c>
    </row>
    <row r="6" ht="15.75" customHeight="1">
      <c r="B6" s="7" t="s">
        <v>17</v>
      </c>
      <c r="C6" s="8" t="s">
        <v>18</v>
      </c>
      <c r="D6" s="9" t="s">
        <v>10</v>
      </c>
      <c r="F6" s="7" t="s">
        <v>8</v>
      </c>
      <c r="G6" s="7" t="s">
        <v>19</v>
      </c>
      <c r="H6" s="10" t="s">
        <v>20</v>
      </c>
      <c r="I6" s="11">
        <v>5.0</v>
      </c>
    </row>
    <row r="7" ht="15.75" customHeight="1">
      <c r="B7" s="7" t="s">
        <v>21</v>
      </c>
      <c r="C7" s="8" t="s">
        <v>22</v>
      </c>
      <c r="D7" s="9" t="s">
        <v>10</v>
      </c>
      <c r="F7" s="7" t="s">
        <v>8</v>
      </c>
      <c r="G7" s="7" t="s">
        <v>23</v>
      </c>
      <c r="H7" s="10" t="s">
        <v>24</v>
      </c>
      <c r="I7" s="11">
        <v>5.0</v>
      </c>
    </row>
    <row r="8" ht="15.75" customHeight="1">
      <c r="B8" s="7" t="s">
        <v>25</v>
      </c>
      <c r="C8" s="8" t="s">
        <v>26</v>
      </c>
      <c r="D8" s="9" t="s">
        <v>10</v>
      </c>
      <c r="F8" s="7" t="s">
        <v>13</v>
      </c>
      <c r="G8" s="7" t="s">
        <v>27</v>
      </c>
      <c r="H8" s="10" t="s">
        <v>28</v>
      </c>
      <c r="I8" s="11">
        <v>5.0</v>
      </c>
    </row>
    <row r="9" ht="15.75" customHeight="1">
      <c r="B9" s="7" t="s">
        <v>29</v>
      </c>
      <c r="C9" s="12" t="s">
        <v>30</v>
      </c>
      <c r="D9" s="9" t="s">
        <v>10</v>
      </c>
      <c r="F9" s="7" t="s">
        <v>13</v>
      </c>
      <c r="G9" s="7" t="s">
        <v>31</v>
      </c>
      <c r="H9" s="10" t="s">
        <v>32</v>
      </c>
      <c r="I9" s="11">
        <v>5.0</v>
      </c>
    </row>
    <row r="10" ht="15.75" customHeight="1">
      <c r="B10" s="7" t="s">
        <v>33</v>
      </c>
      <c r="C10" s="8" t="s">
        <v>34</v>
      </c>
      <c r="D10" s="9" t="s">
        <v>10</v>
      </c>
      <c r="F10" s="7" t="s">
        <v>13</v>
      </c>
      <c r="G10" s="7" t="s">
        <v>35</v>
      </c>
      <c r="H10" s="10" t="s">
        <v>36</v>
      </c>
      <c r="I10" s="11">
        <v>5.0</v>
      </c>
    </row>
    <row r="11" ht="15.75" customHeight="1">
      <c r="B11" s="7" t="s">
        <v>37</v>
      </c>
      <c r="C11" s="8" t="s">
        <v>38</v>
      </c>
      <c r="D11" s="13" t="s">
        <v>10</v>
      </c>
      <c r="F11" s="7" t="s">
        <v>13</v>
      </c>
      <c r="G11" s="7" t="s">
        <v>39</v>
      </c>
      <c r="H11" s="10" t="s">
        <v>36</v>
      </c>
      <c r="I11" s="11">
        <v>5.0</v>
      </c>
    </row>
    <row r="12" ht="15.75" customHeight="1">
      <c r="B12" s="7" t="s">
        <v>40</v>
      </c>
      <c r="C12" s="8" t="s">
        <v>41</v>
      </c>
      <c r="D12" s="13" t="s">
        <v>10</v>
      </c>
      <c r="F12" s="7" t="s">
        <v>17</v>
      </c>
      <c r="G12" s="7" t="s">
        <v>42</v>
      </c>
      <c r="H12" s="10" t="s">
        <v>43</v>
      </c>
      <c r="I12" s="11">
        <v>5.0</v>
      </c>
    </row>
    <row r="13" ht="15.75" customHeight="1">
      <c r="B13" s="7" t="s">
        <v>44</v>
      </c>
      <c r="C13" s="8" t="s">
        <v>45</v>
      </c>
      <c r="D13" s="13" t="s">
        <v>10</v>
      </c>
      <c r="F13" s="7" t="s">
        <v>17</v>
      </c>
      <c r="G13" s="7" t="s">
        <v>46</v>
      </c>
      <c r="H13" s="10" t="s">
        <v>47</v>
      </c>
      <c r="I13" s="11">
        <v>5.0</v>
      </c>
    </row>
    <row r="14" ht="15.75" customHeight="1">
      <c r="B14" s="7" t="s">
        <v>48</v>
      </c>
      <c r="C14" s="8" t="s">
        <v>49</v>
      </c>
      <c r="D14" s="13" t="s">
        <v>10</v>
      </c>
      <c r="F14" s="7" t="s">
        <v>17</v>
      </c>
      <c r="G14" s="7" t="s">
        <v>50</v>
      </c>
      <c r="H14" s="10" t="s">
        <v>51</v>
      </c>
      <c r="I14" s="11">
        <v>5.0</v>
      </c>
    </row>
    <row r="15" ht="15.75" customHeight="1">
      <c r="B15" s="7" t="s">
        <v>52</v>
      </c>
      <c r="C15" s="8" t="s">
        <v>53</v>
      </c>
      <c r="D15" s="13" t="s">
        <v>10</v>
      </c>
      <c r="F15" s="7" t="s">
        <v>17</v>
      </c>
      <c r="G15" s="7" t="s">
        <v>54</v>
      </c>
      <c r="H15" s="10" t="s">
        <v>24</v>
      </c>
      <c r="I15" s="11">
        <v>5.0</v>
      </c>
    </row>
    <row r="16" ht="15.75" customHeight="1">
      <c r="B16" s="7" t="s">
        <v>55</v>
      </c>
      <c r="C16" s="8" t="s">
        <v>56</v>
      </c>
      <c r="D16" s="13" t="s">
        <v>10</v>
      </c>
      <c r="F16" s="7" t="s">
        <v>21</v>
      </c>
      <c r="G16" s="14" t="s">
        <v>57</v>
      </c>
      <c r="H16" s="10" t="s">
        <v>58</v>
      </c>
      <c r="I16" s="11">
        <v>5.0</v>
      </c>
    </row>
    <row r="17" ht="15.75" customHeight="1">
      <c r="B17" s="7" t="s">
        <v>59</v>
      </c>
      <c r="C17" s="8" t="s">
        <v>60</v>
      </c>
      <c r="D17" s="13" t="s">
        <v>10</v>
      </c>
      <c r="F17" s="7" t="s">
        <v>21</v>
      </c>
      <c r="G17" s="14" t="s">
        <v>61</v>
      </c>
      <c r="H17" s="10" t="s">
        <v>62</v>
      </c>
      <c r="I17" s="11">
        <v>5.0</v>
      </c>
    </row>
    <row r="18" ht="15.75" customHeight="1">
      <c r="B18" s="7" t="s">
        <v>25</v>
      </c>
      <c r="C18" s="8" t="s">
        <v>63</v>
      </c>
      <c r="D18" s="13" t="s">
        <v>10</v>
      </c>
      <c r="F18" s="7" t="s">
        <v>21</v>
      </c>
      <c r="G18" s="14" t="s">
        <v>64</v>
      </c>
      <c r="H18" s="10" t="s">
        <v>65</v>
      </c>
      <c r="I18" s="11">
        <v>5.0</v>
      </c>
    </row>
    <row r="19" ht="15.75" customHeight="1">
      <c r="B19" s="7" t="s">
        <v>66</v>
      </c>
      <c r="C19" s="15" t="s">
        <v>67</v>
      </c>
      <c r="D19" s="13" t="s">
        <v>10</v>
      </c>
      <c r="F19" s="7" t="s">
        <v>21</v>
      </c>
      <c r="G19" s="14" t="s">
        <v>68</v>
      </c>
      <c r="H19" s="10" t="s">
        <v>69</v>
      </c>
      <c r="I19" s="11">
        <v>5.0</v>
      </c>
    </row>
    <row r="20" ht="15.75" customHeight="1">
      <c r="B20" s="13" t="s">
        <v>70</v>
      </c>
      <c r="C20" s="16" t="s">
        <v>71</v>
      </c>
      <c r="D20" s="13" t="s">
        <v>10</v>
      </c>
      <c r="F20" s="7" t="s">
        <v>25</v>
      </c>
      <c r="G20" s="7" t="s">
        <v>72</v>
      </c>
      <c r="H20" s="10" t="s">
        <v>73</v>
      </c>
      <c r="I20" s="11">
        <v>5.0</v>
      </c>
    </row>
    <row r="21" ht="15.75" customHeight="1">
      <c r="B21" s="13" t="s">
        <v>74</v>
      </c>
      <c r="C21" s="16" t="s">
        <v>75</v>
      </c>
      <c r="D21" s="13" t="s">
        <v>10</v>
      </c>
      <c r="F21" s="7" t="s">
        <v>25</v>
      </c>
      <c r="G21" s="7" t="s">
        <v>76</v>
      </c>
      <c r="H21" s="10" t="s">
        <v>77</v>
      </c>
      <c r="I21" s="11">
        <v>5.0</v>
      </c>
    </row>
    <row r="22" ht="15.75" customHeight="1">
      <c r="B22" s="13" t="s">
        <v>78</v>
      </c>
      <c r="C22" s="16" t="s">
        <v>79</v>
      </c>
      <c r="D22" s="13" t="s">
        <v>10</v>
      </c>
      <c r="F22" s="7" t="s">
        <v>25</v>
      </c>
      <c r="G22" s="7" t="s">
        <v>80</v>
      </c>
      <c r="H22" s="10" t="s">
        <v>81</v>
      </c>
      <c r="I22" s="11">
        <v>5.0</v>
      </c>
    </row>
    <row r="23" ht="15.75" customHeight="1">
      <c r="F23" s="7" t="s">
        <v>25</v>
      </c>
      <c r="G23" s="7" t="s">
        <v>82</v>
      </c>
      <c r="H23" s="10" t="s">
        <v>83</v>
      </c>
      <c r="I23" s="11">
        <v>5.0</v>
      </c>
    </row>
    <row r="24" ht="15.75" customHeight="1">
      <c r="F24" s="7" t="s">
        <v>29</v>
      </c>
      <c r="G24" s="7" t="s">
        <v>84</v>
      </c>
      <c r="H24" s="8" t="s">
        <v>85</v>
      </c>
      <c r="I24" s="11">
        <v>5.0</v>
      </c>
    </row>
    <row r="25" ht="15.75" customHeight="1">
      <c r="F25" s="7" t="s">
        <v>29</v>
      </c>
      <c r="G25" s="7" t="s">
        <v>86</v>
      </c>
      <c r="H25" s="8" t="s">
        <v>87</v>
      </c>
      <c r="I25" s="11">
        <v>5.0</v>
      </c>
    </row>
    <row r="26" ht="15.75" customHeight="1">
      <c r="F26" s="7" t="s">
        <v>29</v>
      </c>
      <c r="G26" s="7" t="s">
        <v>88</v>
      </c>
      <c r="H26" s="8" t="s">
        <v>89</v>
      </c>
      <c r="I26" s="11">
        <v>5.0</v>
      </c>
    </row>
    <row r="27" ht="15.75" customHeight="1">
      <c r="F27" s="7" t="s">
        <v>29</v>
      </c>
      <c r="G27" s="7" t="s">
        <v>90</v>
      </c>
      <c r="H27" s="8" t="s">
        <v>91</v>
      </c>
      <c r="I27" s="11">
        <v>5.0</v>
      </c>
    </row>
    <row r="28" ht="15.75" customHeight="1">
      <c r="F28" s="7" t="s">
        <v>33</v>
      </c>
      <c r="G28" s="7" t="s">
        <v>92</v>
      </c>
      <c r="H28" s="10" t="s">
        <v>93</v>
      </c>
      <c r="I28" s="11">
        <v>5.0</v>
      </c>
    </row>
    <row r="29" ht="15.75" customHeight="1">
      <c r="F29" s="7" t="s">
        <v>33</v>
      </c>
      <c r="G29" s="7" t="s">
        <v>94</v>
      </c>
      <c r="H29" s="10" t="s">
        <v>95</v>
      </c>
      <c r="I29" s="11">
        <v>5.0</v>
      </c>
    </row>
    <row r="30" ht="15.75" customHeight="1">
      <c r="F30" s="7" t="s">
        <v>33</v>
      </c>
      <c r="G30" s="7" t="s">
        <v>96</v>
      </c>
      <c r="H30" s="10" t="s">
        <v>97</v>
      </c>
      <c r="I30" s="11">
        <v>5.0</v>
      </c>
    </row>
    <row r="31" ht="15.75" customHeight="1">
      <c r="F31" s="7" t="s">
        <v>33</v>
      </c>
      <c r="G31" s="7" t="s">
        <v>98</v>
      </c>
      <c r="H31" s="10" t="s">
        <v>99</v>
      </c>
      <c r="I31" s="11">
        <v>5.0</v>
      </c>
    </row>
    <row r="32" ht="15.75" customHeight="1">
      <c r="F32" s="7" t="s">
        <v>37</v>
      </c>
      <c r="G32" s="7" t="s">
        <v>100</v>
      </c>
      <c r="H32" s="10" t="s">
        <v>101</v>
      </c>
      <c r="I32" s="11">
        <v>5.0</v>
      </c>
    </row>
    <row r="33" ht="15.75" customHeight="1">
      <c r="F33" s="7" t="s">
        <v>37</v>
      </c>
      <c r="G33" s="7" t="s">
        <v>102</v>
      </c>
      <c r="H33" s="10" t="s">
        <v>103</v>
      </c>
      <c r="I33" s="11">
        <v>5.0</v>
      </c>
    </row>
    <row r="34" ht="15.75" customHeight="1">
      <c r="F34" s="7" t="s">
        <v>37</v>
      </c>
      <c r="G34" s="7" t="s">
        <v>104</v>
      </c>
      <c r="H34" s="10" t="s">
        <v>105</v>
      </c>
      <c r="I34" s="11">
        <v>5.0</v>
      </c>
    </row>
    <row r="35" ht="15.75" customHeight="1">
      <c r="F35" s="7" t="s">
        <v>37</v>
      </c>
      <c r="G35" s="7" t="s">
        <v>106</v>
      </c>
      <c r="H35" s="10" t="s">
        <v>107</v>
      </c>
      <c r="I35" s="11">
        <v>5.0</v>
      </c>
    </row>
    <row r="36" ht="15.75" customHeight="1">
      <c r="F36" s="7" t="s">
        <v>40</v>
      </c>
      <c r="G36" s="7" t="s">
        <v>108</v>
      </c>
      <c r="H36" s="16" t="s">
        <v>109</v>
      </c>
      <c r="I36" s="11">
        <v>5.0</v>
      </c>
    </row>
    <row r="37" ht="15.75" customHeight="1">
      <c r="F37" s="7" t="s">
        <v>40</v>
      </c>
      <c r="G37" s="7" t="s">
        <v>110</v>
      </c>
      <c r="H37" s="16" t="s">
        <v>111</v>
      </c>
      <c r="I37" s="11">
        <v>5.0</v>
      </c>
    </row>
    <row r="38" ht="15.75" customHeight="1">
      <c r="F38" s="7" t="s">
        <v>40</v>
      </c>
      <c r="G38" s="7" t="s">
        <v>112</v>
      </c>
      <c r="H38" s="16" t="s">
        <v>113</v>
      </c>
      <c r="I38" s="11">
        <v>5.0</v>
      </c>
    </row>
    <row r="39" ht="15.75" customHeight="1">
      <c r="F39" s="7" t="s">
        <v>40</v>
      </c>
      <c r="G39" s="7" t="s">
        <v>114</v>
      </c>
      <c r="H39" s="16" t="s">
        <v>115</v>
      </c>
      <c r="I39" s="11">
        <v>5.0</v>
      </c>
    </row>
    <row r="40" ht="15.75" customHeight="1">
      <c r="F40" s="7" t="s">
        <v>44</v>
      </c>
      <c r="G40" s="7" t="s">
        <v>116</v>
      </c>
      <c r="H40" s="16" t="s">
        <v>117</v>
      </c>
      <c r="I40" s="11">
        <v>5.0</v>
      </c>
    </row>
    <row r="41" ht="15.75" customHeight="1">
      <c r="F41" s="17" t="s">
        <v>44</v>
      </c>
      <c r="G41" s="7" t="s">
        <v>118</v>
      </c>
      <c r="H41" s="16" t="s">
        <v>119</v>
      </c>
      <c r="I41" s="11">
        <v>5.0</v>
      </c>
    </row>
    <row r="42" ht="15.75" customHeight="1">
      <c r="F42" s="7" t="s">
        <v>44</v>
      </c>
      <c r="G42" s="7" t="s">
        <v>120</v>
      </c>
      <c r="H42" s="16" t="s">
        <v>121</v>
      </c>
      <c r="I42" s="11">
        <v>5.0</v>
      </c>
    </row>
    <row r="43" ht="15.75" customHeight="1">
      <c r="F43" s="17" t="s">
        <v>44</v>
      </c>
      <c r="G43" s="7" t="s">
        <v>122</v>
      </c>
      <c r="H43" s="16" t="s">
        <v>24</v>
      </c>
      <c r="I43" s="11">
        <v>5.0</v>
      </c>
    </row>
    <row r="44" ht="15.75" customHeight="1">
      <c r="F44" s="7" t="s">
        <v>48</v>
      </c>
      <c r="G44" s="18" t="s">
        <v>123</v>
      </c>
      <c r="H44" s="16" t="s">
        <v>124</v>
      </c>
      <c r="I44" s="11">
        <v>5.0</v>
      </c>
    </row>
    <row r="45" ht="15.75" customHeight="1">
      <c r="F45" s="7" t="s">
        <v>48</v>
      </c>
      <c r="G45" s="18" t="s">
        <v>125</v>
      </c>
      <c r="H45" s="16" t="s">
        <v>126</v>
      </c>
      <c r="I45" s="11">
        <v>5.0</v>
      </c>
    </row>
    <row r="46" ht="15.75" customHeight="1">
      <c r="F46" s="7" t="s">
        <v>48</v>
      </c>
      <c r="G46" s="18" t="s">
        <v>127</v>
      </c>
      <c r="H46" s="16" t="s">
        <v>128</v>
      </c>
      <c r="I46" s="11">
        <v>5.0</v>
      </c>
    </row>
    <row r="47" ht="15.75" customHeight="1">
      <c r="F47" s="7" t="s">
        <v>48</v>
      </c>
      <c r="G47" s="18" t="s">
        <v>129</v>
      </c>
      <c r="H47" s="16" t="s">
        <v>130</v>
      </c>
      <c r="I47" s="11">
        <v>5.0</v>
      </c>
    </row>
    <row r="48" ht="15.75" customHeight="1">
      <c r="F48" s="7" t="s">
        <v>52</v>
      </c>
      <c r="G48" s="7" t="s">
        <v>131</v>
      </c>
      <c r="H48" s="16" t="s">
        <v>132</v>
      </c>
      <c r="I48" s="11">
        <v>5.0</v>
      </c>
    </row>
    <row r="49" ht="15.75" customHeight="1">
      <c r="F49" s="7" t="s">
        <v>52</v>
      </c>
      <c r="G49" s="7" t="s">
        <v>133</v>
      </c>
      <c r="H49" s="16" t="s">
        <v>134</v>
      </c>
      <c r="I49" s="11">
        <v>5.0</v>
      </c>
    </row>
    <row r="50" ht="15.75" customHeight="1">
      <c r="F50" s="7" t="s">
        <v>52</v>
      </c>
      <c r="G50" s="7" t="s">
        <v>135</v>
      </c>
      <c r="H50" s="16" t="s">
        <v>136</v>
      </c>
      <c r="I50" s="11">
        <v>5.0</v>
      </c>
    </row>
    <row r="51" ht="15.75" customHeight="1">
      <c r="F51" s="7" t="s">
        <v>52</v>
      </c>
      <c r="G51" s="7" t="s">
        <v>137</v>
      </c>
      <c r="H51" s="16" t="s">
        <v>138</v>
      </c>
      <c r="I51" s="11">
        <v>5.0</v>
      </c>
    </row>
    <row r="52" ht="15.75" customHeight="1">
      <c r="F52" s="7" t="s">
        <v>55</v>
      </c>
      <c r="G52" s="7" t="s">
        <v>139</v>
      </c>
      <c r="H52" s="16" t="s">
        <v>140</v>
      </c>
      <c r="I52" s="11">
        <v>5.0</v>
      </c>
    </row>
    <row r="53" ht="15.75" customHeight="1">
      <c r="F53" s="7" t="s">
        <v>55</v>
      </c>
      <c r="G53" s="7" t="s">
        <v>141</v>
      </c>
      <c r="H53" s="16" t="s">
        <v>142</v>
      </c>
      <c r="I53" s="11">
        <v>5.0</v>
      </c>
    </row>
    <row r="54" ht="15.75" customHeight="1">
      <c r="F54" s="7" t="s">
        <v>55</v>
      </c>
      <c r="G54" s="7" t="s">
        <v>143</v>
      </c>
      <c r="H54" s="16" t="s">
        <v>144</v>
      </c>
      <c r="I54" s="11">
        <v>5.0</v>
      </c>
    </row>
    <row r="55" ht="15.75" customHeight="1">
      <c r="F55" s="7" t="s">
        <v>55</v>
      </c>
      <c r="G55" s="7" t="s">
        <v>145</v>
      </c>
      <c r="H55" s="16" t="s">
        <v>83</v>
      </c>
      <c r="I55" s="11">
        <v>5.0</v>
      </c>
    </row>
    <row r="56" ht="15.75" customHeight="1">
      <c r="F56" s="7" t="s">
        <v>59</v>
      </c>
      <c r="G56" s="7" t="s">
        <v>146</v>
      </c>
      <c r="H56" s="16" t="s">
        <v>147</v>
      </c>
      <c r="I56" s="11">
        <v>5.0</v>
      </c>
    </row>
    <row r="57" ht="15.75" customHeight="1">
      <c r="F57" s="7" t="s">
        <v>59</v>
      </c>
      <c r="G57" s="7" t="s">
        <v>148</v>
      </c>
      <c r="H57" s="16" t="s">
        <v>149</v>
      </c>
      <c r="I57" s="11">
        <v>5.0</v>
      </c>
    </row>
    <row r="58" ht="15.75" customHeight="1">
      <c r="F58" s="7" t="s">
        <v>59</v>
      </c>
      <c r="G58" s="7" t="s">
        <v>150</v>
      </c>
      <c r="H58" s="16" t="s">
        <v>151</v>
      </c>
      <c r="I58" s="11">
        <v>5.0</v>
      </c>
    </row>
    <row r="59" ht="15.75" customHeight="1">
      <c r="F59" s="7" t="s">
        <v>59</v>
      </c>
      <c r="G59" s="7" t="s">
        <v>152</v>
      </c>
      <c r="H59" s="16" t="s">
        <v>153</v>
      </c>
      <c r="I59" s="11">
        <v>5.0</v>
      </c>
    </row>
    <row r="60" ht="15.75" customHeight="1">
      <c r="F60" s="17" t="s">
        <v>25</v>
      </c>
      <c r="G60" s="7" t="s">
        <v>72</v>
      </c>
      <c r="H60" s="16" t="s">
        <v>154</v>
      </c>
      <c r="I60" s="11">
        <v>5.0</v>
      </c>
    </row>
    <row r="61" ht="15.75" customHeight="1">
      <c r="F61" s="17" t="s">
        <v>25</v>
      </c>
      <c r="G61" s="7" t="s">
        <v>76</v>
      </c>
      <c r="H61" s="16" t="s">
        <v>155</v>
      </c>
      <c r="I61" s="11">
        <v>5.0</v>
      </c>
    </row>
    <row r="62" ht="15.75" customHeight="1">
      <c r="F62" s="17" t="s">
        <v>25</v>
      </c>
      <c r="G62" s="7" t="s">
        <v>80</v>
      </c>
      <c r="H62" s="16" t="s">
        <v>156</v>
      </c>
      <c r="I62" s="11">
        <v>5.0</v>
      </c>
    </row>
    <row r="63" ht="15.75" customHeight="1">
      <c r="F63" s="17" t="s">
        <v>25</v>
      </c>
      <c r="G63" s="7" t="s">
        <v>82</v>
      </c>
      <c r="H63" s="16" t="s">
        <v>157</v>
      </c>
      <c r="I63" s="11">
        <v>5.0</v>
      </c>
    </row>
    <row r="64" ht="15.75" customHeight="1">
      <c r="F64" s="7" t="s">
        <v>66</v>
      </c>
      <c r="G64" s="7" t="s">
        <v>158</v>
      </c>
      <c r="H64" s="8" t="s">
        <v>159</v>
      </c>
      <c r="I64" s="11">
        <v>5.0</v>
      </c>
    </row>
    <row r="65" ht="15.75" customHeight="1">
      <c r="F65" s="7" t="s">
        <v>66</v>
      </c>
      <c r="G65" s="7" t="s">
        <v>160</v>
      </c>
      <c r="H65" s="8" t="s">
        <v>161</v>
      </c>
      <c r="I65" s="11">
        <v>5.0</v>
      </c>
    </row>
    <row r="66" ht="15.75" customHeight="1">
      <c r="F66" s="7" t="s">
        <v>66</v>
      </c>
      <c r="G66" s="7" t="s">
        <v>162</v>
      </c>
      <c r="H66" s="8" t="s">
        <v>163</v>
      </c>
      <c r="I66" s="11">
        <v>5.0</v>
      </c>
    </row>
    <row r="67" ht="15.75" customHeight="1">
      <c r="F67" s="7" t="s">
        <v>66</v>
      </c>
      <c r="G67" s="7" t="s">
        <v>164</v>
      </c>
      <c r="H67" s="8" t="s">
        <v>165</v>
      </c>
      <c r="I67" s="11">
        <v>5.0</v>
      </c>
    </row>
    <row r="68" ht="15.75" customHeight="1">
      <c r="F68" s="17" t="s">
        <v>70</v>
      </c>
      <c r="G68" s="7" t="s">
        <v>166</v>
      </c>
      <c r="H68" s="8" t="s">
        <v>167</v>
      </c>
      <c r="I68" s="11">
        <v>5.0</v>
      </c>
    </row>
    <row r="69" ht="15.75" customHeight="1">
      <c r="F69" s="17" t="s">
        <v>70</v>
      </c>
      <c r="G69" s="7" t="s">
        <v>168</v>
      </c>
      <c r="H69" s="8" t="s">
        <v>169</v>
      </c>
      <c r="I69" s="11">
        <v>5.0</v>
      </c>
    </row>
    <row r="70" ht="15.75" customHeight="1">
      <c r="F70" s="17" t="s">
        <v>70</v>
      </c>
      <c r="G70" s="7" t="s">
        <v>170</v>
      </c>
      <c r="H70" s="8" t="s">
        <v>171</v>
      </c>
      <c r="I70" s="11">
        <v>5.0</v>
      </c>
    </row>
    <row r="71" ht="15.75" customHeight="1">
      <c r="F71" s="17" t="s">
        <v>70</v>
      </c>
      <c r="G71" s="7" t="s">
        <v>172</v>
      </c>
      <c r="H71" s="8" t="s">
        <v>173</v>
      </c>
      <c r="I71" s="11">
        <v>5.0</v>
      </c>
    </row>
    <row r="72" ht="15.75" customHeight="1">
      <c r="F72" s="17" t="s">
        <v>74</v>
      </c>
      <c r="G72" s="7" t="s">
        <v>174</v>
      </c>
      <c r="H72" s="16" t="s">
        <v>175</v>
      </c>
      <c r="I72" s="11">
        <v>5.0</v>
      </c>
    </row>
    <row r="73" ht="15.75" customHeight="1">
      <c r="F73" s="17" t="s">
        <v>74</v>
      </c>
      <c r="G73" s="7" t="s">
        <v>176</v>
      </c>
      <c r="H73" s="16" t="s">
        <v>177</v>
      </c>
      <c r="I73" s="11">
        <v>5.0</v>
      </c>
    </row>
    <row r="74" ht="15.75" customHeight="1">
      <c r="F74" s="17" t="s">
        <v>74</v>
      </c>
      <c r="G74" s="7" t="s">
        <v>178</v>
      </c>
      <c r="H74" s="16" t="s">
        <v>179</v>
      </c>
      <c r="I74" s="11">
        <v>5.0</v>
      </c>
    </row>
    <row r="75" ht="15.75" customHeight="1">
      <c r="F75" s="17" t="s">
        <v>74</v>
      </c>
      <c r="G75" s="7" t="s">
        <v>180</v>
      </c>
      <c r="H75" s="16" t="s">
        <v>181</v>
      </c>
      <c r="I75" s="11">
        <v>5.0</v>
      </c>
    </row>
    <row r="76" ht="15.75" customHeight="1">
      <c r="F76" s="17" t="s">
        <v>78</v>
      </c>
      <c r="G76" s="7" t="s">
        <v>182</v>
      </c>
      <c r="H76" s="16" t="s">
        <v>183</v>
      </c>
      <c r="I76" s="11">
        <v>5.0</v>
      </c>
    </row>
    <row r="77" ht="15.75" customHeight="1">
      <c r="F77" s="17" t="s">
        <v>78</v>
      </c>
      <c r="G77" s="7" t="s">
        <v>184</v>
      </c>
      <c r="H77" s="16" t="s">
        <v>185</v>
      </c>
      <c r="I77" s="11">
        <v>5.0</v>
      </c>
    </row>
    <row r="78" ht="15.75" customHeight="1">
      <c r="F78" s="17" t="s">
        <v>78</v>
      </c>
      <c r="G78" s="7" t="s">
        <v>186</v>
      </c>
      <c r="H78" s="16" t="s">
        <v>187</v>
      </c>
      <c r="I78" s="11">
        <v>5.0</v>
      </c>
    </row>
    <row r="79" ht="15.75" customHeight="1">
      <c r="F79" s="17" t="s">
        <v>78</v>
      </c>
      <c r="G79" s="7" t="s">
        <v>188</v>
      </c>
      <c r="H79" s="16" t="s">
        <v>189</v>
      </c>
      <c r="I79" s="11">
        <v>5.0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">
    <mergeCell ref="B2:D2"/>
    <mergeCell ref="F2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9" t="s">
        <v>190</v>
      </c>
      <c r="C2" s="20" t="s">
        <v>191</v>
      </c>
      <c r="D2" s="19" t="s">
        <v>192</v>
      </c>
    </row>
    <row r="3" ht="15.75" customHeight="1">
      <c r="B3" s="21">
        <v>46300.0</v>
      </c>
      <c r="C3" s="22">
        <f>SUM(Tareas!I4:I79)</f>
        <v>380</v>
      </c>
      <c r="D3" s="23">
        <v>380.0</v>
      </c>
    </row>
    <row r="4" ht="15.75" customHeight="1">
      <c r="B4" s="21">
        <v>46301.0</v>
      </c>
      <c r="C4" s="24">
        <f t="shared" ref="C4:C17" si="1">C3-$C$19</f>
        <v>352.8571429</v>
      </c>
      <c r="D4" s="23">
        <v>357.0</v>
      </c>
    </row>
    <row r="5" ht="15.75" customHeight="1">
      <c r="B5" s="21">
        <v>46302.0</v>
      </c>
      <c r="C5" s="24">
        <f t="shared" si="1"/>
        <v>325.7142857</v>
      </c>
      <c r="D5" s="23">
        <v>324.0</v>
      </c>
    </row>
    <row r="6" ht="15.75" customHeight="1">
      <c r="B6" s="21">
        <v>46303.0</v>
      </c>
      <c r="C6" s="24">
        <f t="shared" si="1"/>
        <v>298.5714286</v>
      </c>
      <c r="D6" s="23">
        <v>295.0</v>
      </c>
    </row>
    <row r="7" ht="15.75" customHeight="1">
      <c r="B7" s="21">
        <v>46304.0</v>
      </c>
      <c r="C7" s="24">
        <f t="shared" si="1"/>
        <v>271.4285714</v>
      </c>
      <c r="D7" s="23">
        <v>265.0</v>
      </c>
    </row>
    <row r="8" ht="15.75" customHeight="1">
      <c r="B8" s="21">
        <v>46307.0</v>
      </c>
      <c r="C8" s="24">
        <f t="shared" si="1"/>
        <v>244.2857143</v>
      </c>
      <c r="D8" s="23">
        <v>239.0</v>
      </c>
    </row>
    <row r="9" ht="15.75" customHeight="1">
      <c r="B9" s="21">
        <v>46308.0</v>
      </c>
      <c r="C9" s="24">
        <f t="shared" si="1"/>
        <v>217.1428571</v>
      </c>
      <c r="D9" s="23">
        <v>215.0</v>
      </c>
    </row>
    <row r="10" ht="15.75" customHeight="1">
      <c r="B10" s="21">
        <v>46309.0</v>
      </c>
      <c r="C10" s="24">
        <f t="shared" si="1"/>
        <v>190</v>
      </c>
      <c r="D10" s="22"/>
    </row>
    <row r="11" ht="15.75" customHeight="1">
      <c r="B11" s="21">
        <v>46310.0</v>
      </c>
      <c r="C11" s="24">
        <f t="shared" si="1"/>
        <v>162.8571429</v>
      </c>
      <c r="D11" s="22"/>
    </row>
    <row r="12" ht="15.75" customHeight="1">
      <c r="B12" s="21">
        <v>46311.0</v>
      </c>
      <c r="C12" s="24">
        <f t="shared" si="1"/>
        <v>135.7142857</v>
      </c>
      <c r="D12" s="22"/>
    </row>
    <row r="13" ht="15.75" customHeight="1">
      <c r="B13" s="21">
        <v>46314.0</v>
      </c>
      <c r="C13" s="24">
        <f t="shared" si="1"/>
        <v>108.5714286</v>
      </c>
      <c r="D13" s="22"/>
      <c r="O13" s="25" t="s">
        <v>193</v>
      </c>
    </row>
    <row r="14" ht="15.75" customHeight="1">
      <c r="B14" s="21">
        <v>46315.0</v>
      </c>
      <c r="C14" s="24">
        <f t="shared" si="1"/>
        <v>81.42857143</v>
      </c>
      <c r="D14" s="22"/>
    </row>
    <row r="15" ht="15.75" customHeight="1">
      <c r="B15" s="21">
        <v>46316.0</v>
      </c>
      <c r="C15" s="24">
        <f t="shared" si="1"/>
        <v>54.28571429</v>
      </c>
      <c r="D15" s="22"/>
    </row>
    <row r="16" ht="15.75" customHeight="1">
      <c r="B16" s="21">
        <v>46317.0</v>
      </c>
      <c r="C16" s="24">
        <f t="shared" si="1"/>
        <v>27.14285714</v>
      </c>
      <c r="D16" s="22"/>
    </row>
    <row r="17" ht="15.75" customHeight="1">
      <c r="B17" s="21">
        <v>46318.0</v>
      </c>
      <c r="C17" s="24">
        <f t="shared" si="1"/>
        <v>0</v>
      </c>
      <c r="D17" s="22"/>
    </row>
    <row r="18" ht="15.75" customHeight="1"/>
    <row r="19" ht="15.75" customHeight="1">
      <c r="C19" s="25">
        <f>C3/14</f>
        <v>27.14285714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